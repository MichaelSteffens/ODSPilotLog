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workbookPr defaultThemeVersion="166925"/>
  <mc:AlternateContent xmlns:mc="http://schemas.openxmlformats.org/markup-compatibility/2006">
    <mc:Choice Requires="x15">
      <x15ac:absPath xmlns:x15ac="http://schemas.microsoft.com/office/spreadsheetml/2010/11/ac" url="E:\"/>
    </mc:Choice>
  </mc:AlternateContent>
  <xr:revisionPtr revIDLastSave="0" documentId="8_{08BF52A6-5D59-4F13-848D-389AA0616623}" xr6:coauthVersionLast="47" xr6:coauthVersionMax="47" xr10:uidLastSave="{00000000-0000-0000-0000-000000000000}"/>
  <bookViews>
    <workbookView xWindow="-108" yWindow="-108" windowWidth="23256" windowHeight="12576" tabRatio="500" xr2:uid="{00000000-000D-0000-FFFF-FFFF00000000}"/>
  </bookViews>
  <sheets>
    <sheet name="Flight Log" sheetId="1" r:id="rId1"/>
    <sheet name="Aircrafts" sheetId="2" r:id="rId2"/>
    <sheet name="Aerodromes" sheetId="3" r:id="rId3"/>
  </sheets>
  <definedNames>
    <definedName name="_xlnm._FilterDatabase" localSheetId="0" hidden="1">'Flight Log'!$A$2:$Y$501</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Z502" i="1" l="1"/>
  <c r="Y502" i="1"/>
  <c r="X502" i="1"/>
  <c r="W502" i="1"/>
  <c r="K502" i="1"/>
  <c r="H502" i="1"/>
  <c r="F502" i="1"/>
  <c r="D502" i="1"/>
  <c r="C502" i="1"/>
  <c r="Z501" i="1"/>
  <c r="Y501" i="1"/>
  <c r="X501" i="1"/>
  <c r="W501" i="1"/>
  <c r="K501" i="1"/>
  <c r="H501" i="1"/>
  <c r="F501" i="1"/>
  <c r="D501" i="1"/>
  <c r="C501" i="1"/>
  <c r="Z500" i="1"/>
  <c r="Y500" i="1"/>
  <c r="X500" i="1"/>
  <c r="W500" i="1"/>
  <c r="K500" i="1"/>
  <c r="H500" i="1"/>
  <c r="F500" i="1"/>
  <c r="D500" i="1"/>
  <c r="C500" i="1"/>
  <c r="Z499" i="1"/>
  <c r="Y499" i="1"/>
  <c r="X499" i="1"/>
  <c r="W499" i="1"/>
  <c r="K499" i="1"/>
  <c r="H499" i="1"/>
  <c r="F499" i="1"/>
  <c r="D499" i="1"/>
  <c r="C499" i="1"/>
  <c r="Z498" i="1"/>
  <c r="Y498" i="1"/>
  <c r="X498" i="1"/>
  <c r="W498" i="1"/>
  <c r="K498" i="1"/>
  <c r="H498" i="1"/>
  <c r="F498" i="1"/>
  <c r="D498" i="1"/>
  <c r="C498" i="1"/>
  <c r="Z497" i="1"/>
  <c r="Y497" i="1"/>
  <c r="X497" i="1"/>
  <c r="W497" i="1"/>
  <c r="K497" i="1"/>
  <c r="H497" i="1"/>
  <c r="F497" i="1"/>
  <c r="D497" i="1"/>
  <c r="C497" i="1"/>
  <c r="Z496" i="1"/>
  <c r="Y496" i="1"/>
  <c r="X496" i="1"/>
  <c r="W496" i="1"/>
  <c r="K496" i="1"/>
  <c r="H496" i="1"/>
  <c r="F496" i="1"/>
  <c r="D496" i="1"/>
  <c r="C496" i="1"/>
  <c r="Z495" i="1"/>
  <c r="Y495" i="1"/>
  <c r="X495" i="1"/>
  <c r="W495" i="1"/>
  <c r="K495" i="1"/>
  <c r="H495" i="1"/>
  <c r="F495" i="1"/>
  <c r="D495" i="1"/>
  <c r="C495" i="1"/>
  <c r="Z494" i="1"/>
  <c r="Y494" i="1"/>
  <c r="X494" i="1"/>
  <c r="W494" i="1"/>
  <c r="K494" i="1"/>
  <c r="H494" i="1"/>
  <c r="F494" i="1"/>
  <c r="D494" i="1"/>
  <c r="C494" i="1"/>
  <c r="Z493" i="1"/>
  <c r="Y493" i="1"/>
  <c r="X493" i="1"/>
  <c r="W493" i="1"/>
  <c r="K493" i="1"/>
  <c r="H493" i="1"/>
  <c r="F493" i="1"/>
  <c r="D493" i="1"/>
  <c r="C493" i="1"/>
  <c r="Z492" i="1"/>
  <c r="Y492" i="1"/>
  <c r="X492" i="1"/>
  <c r="W492" i="1"/>
  <c r="K492" i="1"/>
  <c r="H492" i="1"/>
  <c r="F492" i="1"/>
  <c r="D492" i="1"/>
  <c r="C492" i="1"/>
  <c r="Z491" i="1"/>
  <c r="Y491" i="1"/>
  <c r="X491" i="1"/>
  <c r="W491" i="1"/>
  <c r="K491" i="1"/>
  <c r="H491" i="1"/>
  <c r="F491" i="1"/>
  <c r="D491" i="1"/>
  <c r="C491" i="1"/>
  <c r="Z490" i="1"/>
  <c r="Y490" i="1"/>
  <c r="X490" i="1"/>
  <c r="W490" i="1"/>
  <c r="K490" i="1"/>
  <c r="H490" i="1"/>
  <c r="F490" i="1"/>
  <c r="D490" i="1"/>
  <c r="C490" i="1"/>
  <c r="Z489" i="1"/>
  <c r="Y489" i="1"/>
  <c r="X489" i="1"/>
  <c r="W489" i="1"/>
  <c r="K489" i="1"/>
  <c r="H489" i="1"/>
  <c r="F489" i="1"/>
  <c r="D489" i="1"/>
  <c r="C489" i="1"/>
  <c r="Z488" i="1"/>
  <c r="Y488" i="1"/>
  <c r="X488" i="1"/>
  <c r="W488" i="1"/>
  <c r="K488" i="1"/>
  <c r="H488" i="1"/>
  <c r="F488" i="1"/>
  <c r="D488" i="1"/>
  <c r="C488" i="1"/>
  <c r="Z487" i="1"/>
  <c r="Y487" i="1"/>
  <c r="X487" i="1"/>
  <c r="W487" i="1"/>
  <c r="K487" i="1"/>
  <c r="H487" i="1"/>
  <c r="F487" i="1"/>
  <c r="D487" i="1"/>
  <c r="C487" i="1"/>
  <c r="Z486" i="1"/>
  <c r="Y486" i="1"/>
  <c r="X486" i="1"/>
  <c r="W486" i="1"/>
  <c r="K486" i="1"/>
  <c r="H486" i="1"/>
  <c r="F486" i="1"/>
  <c r="D486" i="1"/>
  <c r="C486" i="1"/>
  <c r="Z485" i="1"/>
  <c r="Y485" i="1"/>
  <c r="X485" i="1"/>
  <c r="W485" i="1"/>
  <c r="K485" i="1"/>
  <c r="H485" i="1"/>
  <c r="F485" i="1"/>
  <c r="D485" i="1"/>
  <c r="C485" i="1"/>
  <c r="Z484" i="1"/>
  <c r="Y484" i="1"/>
  <c r="X484" i="1"/>
  <c r="W484" i="1"/>
  <c r="K484" i="1"/>
  <c r="H484" i="1"/>
  <c r="F484" i="1"/>
  <c r="D484" i="1"/>
  <c r="C484" i="1"/>
  <c r="Z483" i="1"/>
  <c r="Y483" i="1"/>
  <c r="X483" i="1"/>
  <c r="W483" i="1"/>
  <c r="K483" i="1"/>
  <c r="H483" i="1"/>
  <c r="F483" i="1"/>
  <c r="D483" i="1"/>
  <c r="C483" i="1"/>
  <c r="Z482" i="1"/>
  <c r="Y482" i="1"/>
  <c r="X482" i="1"/>
  <c r="W482" i="1"/>
  <c r="K482" i="1"/>
  <c r="H482" i="1"/>
  <c r="F482" i="1"/>
  <c r="D482" i="1"/>
  <c r="C482" i="1"/>
  <c r="Z481" i="1"/>
  <c r="Y481" i="1"/>
  <c r="X481" i="1"/>
  <c r="W481" i="1"/>
  <c r="K481" i="1"/>
  <c r="H481" i="1"/>
  <c r="F481" i="1"/>
  <c r="D481" i="1"/>
  <c r="C481" i="1"/>
  <c r="Z480" i="1"/>
  <c r="Y480" i="1"/>
  <c r="X480" i="1"/>
  <c r="W480" i="1"/>
  <c r="K480" i="1"/>
  <c r="H480" i="1"/>
  <c r="F480" i="1"/>
  <c r="D480" i="1"/>
  <c r="C480" i="1"/>
  <c r="Z479" i="1"/>
  <c r="Y479" i="1"/>
  <c r="X479" i="1"/>
  <c r="W479" i="1"/>
  <c r="K479" i="1"/>
  <c r="H479" i="1"/>
  <c r="F479" i="1"/>
  <c r="D479" i="1"/>
  <c r="C479" i="1"/>
  <c r="Z478" i="1"/>
  <c r="Y478" i="1"/>
  <c r="X478" i="1"/>
  <c r="W478" i="1"/>
  <c r="K478" i="1"/>
  <c r="H478" i="1"/>
  <c r="F478" i="1"/>
  <c r="D478" i="1"/>
  <c r="C478" i="1"/>
  <c r="Z477" i="1"/>
  <c r="Y477" i="1"/>
  <c r="X477" i="1"/>
  <c r="W477" i="1"/>
  <c r="K477" i="1"/>
  <c r="H477" i="1"/>
  <c r="F477" i="1"/>
  <c r="D477" i="1"/>
  <c r="C477" i="1"/>
  <c r="Z476" i="1"/>
  <c r="Y476" i="1"/>
  <c r="X476" i="1"/>
  <c r="W476" i="1"/>
  <c r="K476" i="1"/>
  <c r="H476" i="1"/>
  <c r="F476" i="1"/>
  <c r="D476" i="1"/>
  <c r="C476" i="1"/>
  <c r="Z475" i="1"/>
  <c r="Y475" i="1"/>
  <c r="X475" i="1"/>
  <c r="W475" i="1"/>
  <c r="K475" i="1"/>
  <c r="H475" i="1"/>
  <c r="F475" i="1"/>
  <c r="D475" i="1"/>
  <c r="C475" i="1"/>
  <c r="Z474" i="1"/>
  <c r="Y474" i="1"/>
  <c r="X474" i="1"/>
  <c r="W474" i="1"/>
  <c r="K474" i="1"/>
  <c r="H474" i="1"/>
  <c r="F474" i="1"/>
  <c r="D474" i="1"/>
  <c r="C474" i="1"/>
  <c r="Z473" i="1"/>
  <c r="Y473" i="1"/>
  <c r="X473" i="1"/>
  <c r="W473" i="1"/>
  <c r="K473" i="1"/>
  <c r="H473" i="1"/>
  <c r="F473" i="1"/>
  <c r="D473" i="1"/>
  <c r="C473" i="1"/>
  <c r="Z472" i="1"/>
  <c r="Y472" i="1"/>
  <c r="X472" i="1"/>
  <c r="W472" i="1"/>
  <c r="K472" i="1"/>
  <c r="H472" i="1"/>
  <c r="F472" i="1"/>
  <c r="D472" i="1"/>
  <c r="C472" i="1"/>
  <c r="Z471" i="1"/>
  <c r="Y471" i="1"/>
  <c r="X471" i="1"/>
  <c r="W471" i="1"/>
  <c r="K471" i="1"/>
  <c r="H471" i="1"/>
  <c r="F471" i="1"/>
  <c r="D471" i="1"/>
  <c r="C471" i="1"/>
  <c r="Z470" i="1"/>
  <c r="Y470" i="1"/>
  <c r="X470" i="1"/>
  <c r="W470" i="1"/>
  <c r="K470" i="1"/>
  <c r="H470" i="1"/>
  <c r="F470" i="1"/>
  <c r="D470" i="1"/>
  <c r="C470" i="1"/>
  <c r="Z469" i="1"/>
  <c r="Y469" i="1"/>
  <c r="X469" i="1"/>
  <c r="W469" i="1"/>
  <c r="K469" i="1"/>
  <c r="H469" i="1"/>
  <c r="F469" i="1"/>
  <c r="D469" i="1"/>
  <c r="C469" i="1"/>
  <c r="Z468" i="1"/>
  <c r="Y468" i="1"/>
  <c r="X468" i="1"/>
  <c r="W468" i="1"/>
  <c r="K468" i="1"/>
  <c r="H468" i="1"/>
  <c r="F468" i="1"/>
  <c r="D468" i="1"/>
  <c r="C468" i="1"/>
  <c r="Z467" i="1"/>
  <c r="Y467" i="1"/>
  <c r="X467" i="1"/>
  <c r="W467" i="1"/>
  <c r="K467" i="1"/>
  <c r="H467" i="1"/>
  <c r="F467" i="1"/>
  <c r="D467" i="1"/>
  <c r="C467" i="1"/>
  <c r="Z466" i="1"/>
  <c r="Y466" i="1"/>
  <c r="X466" i="1"/>
  <c r="W466" i="1"/>
  <c r="K466" i="1"/>
  <c r="H466" i="1"/>
  <c r="F466" i="1"/>
  <c r="D466" i="1"/>
  <c r="C466" i="1"/>
  <c r="Z465" i="1"/>
  <c r="Y465" i="1"/>
  <c r="X465" i="1"/>
  <c r="W465" i="1"/>
  <c r="K465" i="1"/>
  <c r="H465" i="1"/>
  <c r="F465" i="1"/>
  <c r="D465" i="1"/>
  <c r="C465" i="1"/>
  <c r="Z464" i="1"/>
  <c r="Y464" i="1"/>
  <c r="X464" i="1"/>
  <c r="W464" i="1"/>
  <c r="K464" i="1"/>
  <c r="H464" i="1"/>
  <c r="F464" i="1"/>
  <c r="D464" i="1"/>
  <c r="C464" i="1"/>
  <c r="Z463" i="1"/>
  <c r="Y463" i="1"/>
  <c r="X463" i="1"/>
  <c r="W463" i="1"/>
  <c r="K463" i="1"/>
  <c r="H463" i="1"/>
  <c r="F463" i="1"/>
  <c r="D463" i="1"/>
  <c r="C463" i="1"/>
  <c r="Z462" i="1"/>
  <c r="Y462" i="1"/>
  <c r="X462" i="1"/>
  <c r="W462" i="1"/>
  <c r="K462" i="1"/>
  <c r="H462" i="1"/>
  <c r="F462" i="1"/>
  <c r="D462" i="1"/>
  <c r="C462" i="1"/>
  <c r="Z461" i="1"/>
  <c r="Y461" i="1"/>
  <c r="X461" i="1"/>
  <c r="W461" i="1"/>
  <c r="K461" i="1"/>
  <c r="H461" i="1"/>
  <c r="F461" i="1"/>
  <c r="D461" i="1"/>
  <c r="C461" i="1"/>
  <c r="Z460" i="1"/>
  <c r="Y460" i="1"/>
  <c r="X460" i="1"/>
  <c r="W460" i="1"/>
  <c r="K460" i="1"/>
  <c r="H460" i="1"/>
  <c r="F460" i="1"/>
  <c r="D460" i="1"/>
  <c r="C460" i="1"/>
  <c r="Z459" i="1"/>
  <c r="Y459" i="1"/>
  <c r="X459" i="1"/>
  <c r="W459" i="1"/>
  <c r="K459" i="1"/>
  <c r="H459" i="1"/>
  <c r="F459" i="1"/>
  <c r="D459" i="1"/>
  <c r="C459" i="1"/>
  <c r="Z458" i="1"/>
  <c r="Y458" i="1"/>
  <c r="X458" i="1"/>
  <c r="W458" i="1"/>
  <c r="K458" i="1"/>
  <c r="H458" i="1"/>
  <c r="F458" i="1"/>
  <c r="D458" i="1"/>
  <c r="C458" i="1"/>
  <c r="Z457" i="1"/>
  <c r="Y457" i="1"/>
  <c r="X457" i="1"/>
  <c r="W457" i="1"/>
  <c r="K457" i="1"/>
  <c r="H457" i="1"/>
  <c r="F457" i="1"/>
  <c r="D457" i="1"/>
  <c r="C457" i="1"/>
  <c r="Z456" i="1"/>
  <c r="Y456" i="1"/>
  <c r="X456" i="1"/>
  <c r="W456" i="1"/>
  <c r="K456" i="1"/>
  <c r="H456" i="1"/>
  <c r="F456" i="1"/>
  <c r="D456" i="1"/>
  <c r="C456" i="1"/>
  <c r="Z455" i="1"/>
  <c r="Y455" i="1"/>
  <c r="X455" i="1"/>
  <c r="W455" i="1"/>
  <c r="K455" i="1"/>
  <c r="H455" i="1"/>
  <c r="F455" i="1"/>
  <c r="D455" i="1"/>
  <c r="C455" i="1"/>
  <c r="Z454" i="1"/>
  <c r="Y454" i="1"/>
  <c r="X454" i="1"/>
  <c r="W454" i="1"/>
  <c r="K454" i="1"/>
  <c r="H454" i="1"/>
  <c r="F454" i="1"/>
  <c r="D454" i="1"/>
  <c r="C454" i="1"/>
  <c r="Z453" i="1"/>
  <c r="Y453" i="1"/>
  <c r="X453" i="1"/>
  <c r="W453" i="1"/>
  <c r="K453" i="1"/>
  <c r="H453" i="1"/>
  <c r="F453" i="1"/>
  <c r="D453" i="1"/>
  <c r="C453" i="1"/>
  <c r="Z452" i="1"/>
  <c r="Y452" i="1"/>
  <c r="X452" i="1"/>
  <c r="W452" i="1"/>
  <c r="K452" i="1"/>
  <c r="H452" i="1"/>
  <c r="F452" i="1"/>
  <c r="D452" i="1"/>
  <c r="C452" i="1"/>
  <c r="Z451" i="1"/>
  <c r="Y451" i="1"/>
  <c r="X451" i="1"/>
  <c r="W451" i="1"/>
  <c r="K451" i="1"/>
  <c r="H451" i="1"/>
  <c r="F451" i="1"/>
  <c r="D451" i="1"/>
  <c r="C451" i="1"/>
  <c r="Z450" i="1"/>
  <c r="Y450" i="1"/>
  <c r="X450" i="1"/>
  <c r="W450" i="1"/>
  <c r="K450" i="1"/>
  <c r="H450" i="1"/>
  <c r="F450" i="1"/>
  <c r="D450" i="1"/>
  <c r="C450" i="1"/>
  <c r="Z449" i="1"/>
  <c r="Y449" i="1"/>
  <c r="X449" i="1"/>
  <c r="W449" i="1"/>
  <c r="K449" i="1"/>
  <c r="H449" i="1"/>
  <c r="F449" i="1"/>
  <c r="D449" i="1"/>
  <c r="C449" i="1"/>
  <c r="Z448" i="1"/>
  <c r="Y448" i="1"/>
  <c r="X448" i="1"/>
  <c r="W448" i="1"/>
  <c r="K448" i="1"/>
  <c r="H448" i="1"/>
  <c r="F448" i="1"/>
  <c r="D448" i="1"/>
  <c r="C448" i="1"/>
  <c r="Z447" i="1"/>
  <c r="Y447" i="1"/>
  <c r="X447" i="1"/>
  <c r="W447" i="1"/>
  <c r="K447" i="1"/>
  <c r="H447" i="1"/>
  <c r="F447" i="1"/>
  <c r="D447" i="1"/>
  <c r="C447" i="1"/>
  <c r="Z446" i="1"/>
  <c r="Y446" i="1"/>
  <c r="X446" i="1"/>
  <c r="W446" i="1"/>
  <c r="K446" i="1"/>
  <c r="H446" i="1"/>
  <c r="F446" i="1"/>
  <c r="D446" i="1"/>
  <c r="C446" i="1"/>
  <c r="Z445" i="1"/>
  <c r="Y445" i="1"/>
  <c r="X445" i="1"/>
  <c r="W445" i="1"/>
  <c r="K445" i="1"/>
  <c r="H445" i="1"/>
  <c r="F445" i="1"/>
  <c r="D445" i="1"/>
  <c r="C445" i="1"/>
  <c r="Z444" i="1"/>
  <c r="Y444" i="1"/>
  <c r="X444" i="1"/>
  <c r="W444" i="1"/>
  <c r="K444" i="1"/>
  <c r="H444" i="1"/>
  <c r="F444" i="1"/>
  <c r="D444" i="1"/>
  <c r="C444" i="1"/>
  <c r="Z443" i="1"/>
  <c r="Y443" i="1"/>
  <c r="X443" i="1"/>
  <c r="W443" i="1"/>
  <c r="K443" i="1"/>
  <c r="H443" i="1"/>
  <c r="F443" i="1"/>
  <c r="D443" i="1"/>
  <c r="C443" i="1"/>
  <c r="Z442" i="1"/>
  <c r="Y442" i="1"/>
  <c r="X442" i="1"/>
  <c r="W442" i="1"/>
  <c r="K442" i="1"/>
  <c r="H442" i="1"/>
  <c r="F442" i="1"/>
  <c r="D442" i="1"/>
  <c r="C442" i="1"/>
  <c r="Z441" i="1"/>
  <c r="Y441" i="1"/>
  <c r="X441" i="1"/>
  <c r="W441" i="1"/>
  <c r="K441" i="1"/>
  <c r="H441" i="1"/>
  <c r="F441" i="1"/>
  <c r="D441" i="1"/>
  <c r="C441" i="1"/>
  <c r="Z440" i="1"/>
  <c r="Y440" i="1"/>
  <c r="X440" i="1"/>
  <c r="W440" i="1"/>
  <c r="K440" i="1"/>
  <c r="H440" i="1"/>
  <c r="F440" i="1"/>
  <c r="D440" i="1"/>
  <c r="C440" i="1"/>
  <c r="Z439" i="1"/>
  <c r="Y439" i="1"/>
  <c r="X439" i="1"/>
  <c r="W439" i="1"/>
  <c r="K439" i="1"/>
  <c r="H439" i="1"/>
  <c r="F439" i="1"/>
  <c r="D439" i="1"/>
  <c r="C439" i="1"/>
  <c r="Z438" i="1"/>
  <c r="Y438" i="1"/>
  <c r="X438" i="1"/>
  <c r="W438" i="1"/>
  <c r="K438" i="1"/>
  <c r="H438" i="1"/>
  <c r="F438" i="1"/>
  <c r="D438" i="1"/>
  <c r="C438" i="1"/>
  <c r="Z437" i="1"/>
  <c r="Y437" i="1"/>
  <c r="X437" i="1"/>
  <c r="W437" i="1"/>
  <c r="K437" i="1"/>
  <c r="H437" i="1"/>
  <c r="F437" i="1"/>
  <c r="D437" i="1"/>
  <c r="C437" i="1"/>
  <c r="Z436" i="1"/>
  <c r="Y436" i="1"/>
  <c r="X436" i="1"/>
  <c r="W436" i="1"/>
  <c r="K436" i="1"/>
  <c r="H436" i="1"/>
  <c r="F436" i="1"/>
  <c r="D436" i="1"/>
  <c r="C436" i="1"/>
  <c r="Z435" i="1"/>
  <c r="Y435" i="1"/>
  <c r="X435" i="1"/>
  <c r="W435" i="1"/>
  <c r="K435" i="1"/>
  <c r="H435" i="1"/>
  <c r="F435" i="1"/>
  <c r="D435" i="1"/>
  <c r="C435" i="1"/>
  <c r="Z434" i="1"/>
  <c r="Y434" i="1"/>
  <c r="X434" i="1"/>
  <c r="W434" i="1"/>
  <c r="K434" i="1"/>
  <c r="H434" i="1"/>
  <c r="F434" i="1"/>
  <c r="D434" i="1"/>
  <c r="C434" i="1"/>
  <c r="Z433" i="1"/>
  <c r="Y433" i="1"/>
  <c r="X433" i="1"/>
  <c r="W433" i="1"/>
  <c r="K433" i="1"/>
  <c r="H433" i="1"/>
  <c r="F433" i="1"/>
  <c r="D433" i="1"/>
  <c r="C433" i="1"/>
  <c r="Z432" i="1"/>
  <c r="Y432" i="1"/>
  <c r="X432" i="1"/>
  <c r="W432" i="1"/>
  <c r="K432" i="1"/>
  <c r="H432" i="1"/>
  <c r="F432" i="1"/>
  <c r="D432" i="1"/>
  <c r="C432" i="1"/>
  <c r="Z431" i="1"/>
  <c r="Y431" i="1"/>
  <c r="X431" i="1"/>
  <c r="W431" i="1"/>
  <c r="K431" i="1"/>
  <c r="H431" i="1"/>
  <c r="F431" i="1"/>
  <c r="D431" i="1"/>
  <c r="C431" i="1"/>
  <c r="Z430" i="1"/>
  <c r="Y430" i="1"/>
  <c r="X430" i="1"/>
  <c r="W430" i="1"/>
  <c r="K430" i="1"/>
  <c r="H430" i="1"/>
  <c r="F430" i="1"/>
  <c r="D430" i="1"/>
  <c r="C430" i="1"/>
  <c r="Z429" i="1"/>
  <c r="Y429" i="1"/>
  <c r="X429" i="1"/>
  <c r="W429" i="1"/>
  <c r="K429" i="1"/>
  <c r="H429" i="1"/>
  <c r="F429" i="1"/>
  <c r="D429" i="1"/>
  <c r="C429" i="1"/>
  <c r="Z428" i="1"/>
  <c r="Y428" i="1"/>
  <c r="X428" i="1"/>
  <c r="W428" i="1"/>
  <c r="K428" i="1"/>
  <c r="H428" i="1"/>
  <c r="F428" i="1"/>
  <c r="D428" i="1"/>
  <c r="C428" i="1"/>
  <c r="Z427" i="1"/>
  <c r="Y427" i="1"/>
  <c r="X427" i="1"/>
  <c r="W427" i="1"/>
  <c r="K427" i="1"/>
  <c r="H427" i="1"/>
  <c r="F427" i="1"/>
  <c r="D427" i="1"/>
  <c r="C427" i="1"/>
  <c r="Z426" i="1"/>
  <c r="Y426" i="1"/>
  <c r="X426" i="1"/>
  <c r="W426" i="1"/>
  <c r="K426" i="1"/>
  <c r="H426" i="1"/>
  <c r="F426" i="1"/>
  <c r="D426" i="1"/>
  <c r="C426" i="1"/>
  <c r="Z425" i="1"/>
  <c r="Y425" i="1"/>
  <c r="X425" i="1"/>
  <c r="W425" i="1"/>
  <c r="K425" i="1"/>
  <c r="H425" i="1"/>
  <c r="F425" i="1"/>
  <c r="D425" i="1"/>
  <c r="C425" i="1"/>
  <c r="Z424" i="1"/>
  <c r="Y424" i="1"/>
  <c r="X424" i="1"/>
  <c r="W424" i="1"/>
  <c r="K424" i="1"/>
  <c r="H424" i="1"/>
  <c r="F424" i="1"/>
  <c r="D424" i="1"/>
  <c r="C424" i="1"/>
  <c r="Z423" i="1"/>
  <c r="Y423" i="1"/>
  <c r="X423" i="1"/>
  <c r="W423" i="1"/>
  <c r="K423" i="1"/>
  <c r="H423" i="1"/>
  <c r="F423" i="1"/>
  <c r="D423" i="1"/>
  <c r="C423" i="1"/>
  <c r="Z422" i="1"/>
  <c r="Y422" i="1"/>
  <c r="X422" i="1"/>
  <c r="W422" i="1"/>
  <c r="K422" i="1"/>
  <c r="H422" i="1"/>
  <c r="F422" i="1"/>
  <c r="D422" i="1"/>
  <c r="C422" i="1"/>
  <c r="Z421" i="1"/>
  <c r="Y421" i="1"/>
  <c r="X421" i="1"/>
  <c r="W421" i="1"/>
  <c r="K421" i="1"/>
  <c r="H421" i="1"/>
  <c r="F421" i="1"/>
  <c r="D421" i="1"/>
  <c r="C421" i="1"/>
  <c r="Z420" i="1"/>
  <c r="Y420" i="1"/>
  <c r="X420" i="1"/>
  <c r="W420" i="1"/>
  <c r="K420" i="1"/>
  <c r="H420" i="1"/>
  <c r="F420" i="1"/>
  <c r="D420" i="1"/>
  <c r="C420" i="1"/>
  <c r="Z419" i="1"/>
  <c r="Y419" i="1"/>
  <c r="X419" i="1"/>
  <c r="W419" i="1"/>
  <c r="K419" i="1"/>
  <c r="H419" i="1"/>
  <c r="F419" i="1"/>
  <c r="D419" i="1"/>
  <c r="C419" i="1"/>
  <c r="Z418" i="1"/>
  <c r="Y418" i="1"/>
  <c r="X418" i="1"/>
  <c r="W418" i="1"/>
  <c r="K418" i="1"/>
  <c r="H418" i="1"/>
  <c r="F418" i="1"/>
  <c r="D418" i="1"/>
  <c r="C418" i="1"/>
  <c r="Z417" i="1"/>
  <c r="Y417" i="1"/>
  <c r="X417" i="1"/>
  <c r="W417" i="1"/>
  <c r="K417" i="1"/>
  <c r="H417" i="1"/>
  <c r="F417" i="1"/>
  <c r="D417" i="1"/>
  <c r="C417" i="1"/>
  <c r="Z416" i="1"/>
  <c r="Y416" i="1"/>
  <c r="X416" i="1"/>
  <c r="W416" i="1"/>
  <c r="K416" i="1"/>
  <c r="H416" i="1"/>
  <c r="F416" i="1"/>
  <c r="D416" i="1"/>
  <c r="C416" i="1"/>
  <c r="Z415" i="1"/>
  <c r="Y415" i="1"/>
  <c r="X415" i="1"/>
  <c r="W415" i="1"/>
  <c r="K415" i="1"/>
  <c r="H415" i="1"/>
  <c r="F415" i="1"/>
  <c r="D415" i="1"/>
  <c r="C415" i="1"/>
  <c r="Z414" i="1"/>
  <c r="Y414" i="1"/>
  <c r="X414" i="1"/>
  <c r="W414" i="1"/>
  <c r="K414" i="1"/>
  <c r="H414" i="1"/>
  <c r="F414" i="1"/>
  <c r="D414" i="1"/>
  <c r="C414" i="1"/>
  <c r="Z413" i="1"/>
  <c r="Y413" i="1"/>
  <c r="X413" i="1"/>
  <c r="W413" i="1"/>
  <c r="K413" i="1"/>
  <c r="H413" i="1"/>
  <c r="F413" i="1"/>
  <c r="D413" i="1"/>
  <c r="C413" i="1"/>
  <c r="Z412" i="1"/>
  <c r="Y412" i="1"/>
  <c r="X412" i="1"/>
  <c r="W412" i="1"/>
  <c r="K412" i="1"/>
  <c r="H412" i="1"/>
  <c r="F412" i="1"/>
  <c r="D412" i="1"/>
  <c r="C412" i="1"/>
  <c r="Z411" i="1"/>
  <c r="Y411" i="1"/>
  <c r="X411" i="1"/>
  <c r="W411" i="1"/>
  <c r="K411" i="1"/>
  <c r="H411" i="1"/>
  <c r="F411" i="1"/>
  <c r="D411" i="1"/>
  <c r="C411" i="1"/>
  <c r="Z410" i="1"/>
  <c r="Y410" i="1"/>
  <c r="X410" i="1"/>
  <c r="W410" i="1"/>
  <c r="K410" i="1"/>
  <c r="H410" i="1"/>
  <c r="F410" i="1"/>
  <c r="D410" i="1"/>
  <c r="C410" i="1"/>
  <c r="Z409" i="1"/>
  <c r="Y409" i="1"/>
  <c r="X409" i="1"/>
  <c r="W409" i="1"/>
  <c r="K409" i="1"/>
  <c r="H409" i="1"/>
  <c r="F409" i="1"/>
  <c r="D409" i="1"/>
  <c r="C409" i="1"/>
  <c r="Z408" i="1"/>
  <c r="Y408" i="1"/>
  <c r="X408" i="1"/>
  <c r="W408" i="1"/>
  <c r="K408" i="1"/>
  <c r="H408" i="1"/>
  <c r="F408" i="1"/>
  <c r="D408" i="1"/>
  <c r="C408" i="1"/>
  <c r="Z407" i="1"/>
  <c r="Y407" i="1"/>
  <c r="X407" i="1"/>
  <c r="W407" i="1"/>
  <c r="K407" i="1"/>
  <c r="H407" i="1"/>
  <c r="F407" i="1"/>
  <c r="D407" i="1"/>
  <c r="C407" i="1"/>
  <c r="Z406" i="1"/>
  <c r="Y406" i="1"/>
  <c r="X406" i="1"/>
  <c r="W406" i="1"/>
  <c r="K406" i="1"/>
  <c r="H406" i="1"/>
  <c r="F406" i="1"/>
  <c r="D406" i="1"/>
  <c r="C406" i="1"/>
  <c r="Z405" i="1"/>
  <c r="Y405" i="1"/>
  <c r="X405" i="1"/>
  <c r="W405" i="1"/>
  <c r="K405" i="1"/>
  <c r="H405" i="1"/>
  <c r="F405" i="1"/>
  <c r="D405" i="1"/>
  <c r="C405" i="1"/>
  <c r="Z404" i="1"/>
  <c r="Y404" i="1"/>
  <c r="X404" i="1"/>
  <c r="W404" i="1"/>
  <c r="K404" i="1"/>
  <c r="H404" i="1"/>
  <c r="F404" i="1"/>
  <c r="D404" i="1"/>
  <c r="C404" i="1"/>
  <c r="Z403" i="1"/>
  <c r="Y403" i="1"/>
  <c r="X403" i="1"/>
  <c r="W403" i="1"/>
  <c r="K403" i="1"/>
  <c r="H403" i="1"/>
  <c r="F403" i="1"/>
  <c r="D403" i="1"/>
  <c r="C403" i="1"/>
  <c r="Z402" i="1"/>
  <c r="Y402" i="1"/>
  <c r="X402" i="1"/>
  <c r="W402" i="1"/>
  <c r="K402" i="1"/>
  <c r="H402" i="1"/>
  <c r="F402" i="1"/>
  <c r="D402" i="1"/>
  <c r="C402" i="1"/>
  <c r="Z401" i="1"/>
  <c r="Y401" i="1"/>
  <c r="X401" i="1"/>
  <c r="W401" i="1"/>
  <c r="K401" i="1"/>
  <c r="H401" i="1"/>
  <c r="F401" i="1"/>
  <c r="D401" i="1"/>
  <c r="C401" i="1"/>
  <c r="Z400" i="1"/>
  <c r="Y400" i="1"/>
  <c r="X400" i="1"/>
  <c r="W400" i="1"/>
  <c r="K400" i="1"/>
  <c r="H400" i="1"/>
  <c r="F400" i="1"/>
  <c r="D400" i="1"/>
  <c r="C400" i="1"/>
  <c r="Z399" i="1"/>
  <c r="Y399" i="1"/>
  <c r="X399" i="1"/>
  <c r="W399" i="1"/>
  <c r="K399" i="1"/>
  <c r="H399" i="1"/>
  <c r="F399" i="1"/>
  <c r="D399" i="1"/>
  <c r="C399" i="1"/>
  <c r="Z398" i="1"/>
  <c r="Y398" i="1"/>
  <c r="X398" i="1"/>
  <c r="W398" i="1"/>
  <c r="K398" i="1"/>
  <c r="H398" i="1"/>
  <c r="F398" i="1"/>
  <c r="D398" i="1"/>
  <c r="C398" i="1"/>
  <c r="Z397" i="1"/>
  <c r="Y397" i="1"/>
  <c r="X397" i="1"/>
  <c r="W397" i="1"/>
  <c r="K397" i="1"/>
  <c r="H397" i="1"/>
  <c r="F397" i="1"/>
  <c r="D397" i="1"/>
  <c r="C397" i="1"/>
  <c r="Z396" i="1"/>
  <c r="Y396" i="1"/>
  <c r="X396" i="1"/>
  <c r="W396" i="1"/>
  <c r="K396" i="1"/>
  <c r="H396" i="1"/>
  <c r="F396" i="1"/>
  <c r="D396" i="1"/>
  <c r="C396" i="1"/>
  <c r="Z395" i="1"/>
  <c r="Y395" i="1"/>
  <c r="X395" i="1"/>
  <c r="W395" i="1"/>
  <c r="K395" i="1"/>
  <c r="H395" i="1"/>
  <c r="F395" i="1"/>
  <c r="D395" i="1"/>
  <c r="C395" i="1"/>
  <c r="Z394" i="1"/>
  <c r="Y394" i="1"/>
  <c r="X394" i="1"/>
  <c r="W394" i="1"/>
  <c r="K394" i="1"/>
  <c r="H394" i="1"/>
  <c r="F394" i="1"/>
  <c r="D394" i="1"/>
  <c r="C394" i="1"/>
  <c r="Z393" i="1"/>
  <c r="Y393" i="1"/>
  <c r="X393" i="1"/>
  <c r="W393" i="1"/>
  <c r="K393" i="1"/>
  <c r="H393" i="1"/>
  <c r="F393" i="1"/>
  <c r="D393" i="1"/>
  <c r="C393" i="1"/>
  <c r="Z392" i="1"/>
  <c r="Y392" i="1"/>
  <c r="X392" i="1"/>
  <c r="W392" i="1"/>
  <c r="K392" i="1"/>
  <c r="H392" i="1"/>
  <c r="F392" i="1"/>
  <c r="D392" i="1"/>
  <c r="C392" i="1"/>
  <c r="Z391" i="1"/>
  <c r="Y391" i="1"/>
  <c r="X391" i="1"/>
  <c r="W391" i="1"/>
  <c r="K391" i="1"/>
  <c r="H391" i="1"/>
  <c r="F391" i="1"/>
  <c r="D391" i="1"/>
  <c r="C391" i="1"/>
  <c r="Z390" i="1"/>
  <c r="Y390" i="1"/>
  <c r="X390" i="1"/>
  <c r="W390" i="1"/>
  <c r="K390" i="1"/>
  <c r="H390" i="1"/>
  <c r="F390" i="1"/>
  <c r="D390" i="1"/>
  <c r="C390" i="1"/>
  <c r="Z389" i="1"/>
  <c r="Y389" i="1"/>
  <c r="X389" i="1"/>
  <c r="W389" i="1"/>
  <c r="K389" i="1"/>
  <c r="H389" i="1"/>
  <c r="F389" i="1"/>
  <c r="D389" i="1"/>
  <c r="C389" i="1"/>
  <c r="Z388" i="1"/>
  <c r="Y388" i="1"/>
  <c r="X388" i="1"/>
  <c r="W388" i="1"/>
  <c r="K388" i="1"/>
  <c r="H388" i="1"/>
  <c r="F388" i="1"/>
  <c r="D388" i="1"/>
  <c r="C388" i="1"/>
  <c r="Z387" i="1"/>
  <c r="Y387" i="1"/>
  <c r="X387" i="1"/>
  <c r="W387" i="1"/>
  <c r="K387" i="1"/>
  <c r="H387" i="1"/>
  <c r="F387" i="1"/>
  <c r="D387" i="1"/>
  <c r="C387" i="1"/>
  <c r="Z386" i="1"/>
  <c r="Y386" i="1"/>
  <c r="X386" i="1"/>
  <c r="W386" i="1"/>
  <c r="K386" i="1"/>
  <c r="H386" i="1"/>
  <c r="F386" i="1"/>
  <c r="D386" i="1"/>
  <c r="C386" i="1"/>
  <c r="Z385" i="1"/>
  <c r="Y385" i="1"/>
  <c r="X385" i="1"/>
  <c r="W385" i="1"/>
  <c r="K385" i="1"/>
  <c r="H385" i="1"/>
  <c r="F385" i="1"/>
  <c r="D385" i="1"/>
  <c r="C385" i="1"/>
  <c r="Z384" i="1"/>
  <c r="Y384" i="1"/>
  <c r="X384" i="1"/>
  <c r="W384" i="1"/>
  <c r="K384" i="1"/>
  <c r="H384" i="1"/>
  <c r="F384" i="1"/>
  <c r="D384" i="1"/>
  <c r="C384" i="1"/>
  <c r="Z383" i="1"/>
  <c r="Y383" i="1"/>
  <c r="X383" i="1"/>
  <c r="W383" i="1"/>
  <c r="K383" i="1"/>
  <c r="H383" i="1"/>
  <c r="F383" i="1"/>
  <c r="D383" i="1"/>
  <c r="C383" i="1"/>
  <c r="Z382" i="1"/>
  <c r="Y382" i="1"/>
  <c r="X382" i="1"/>
  <c r="W382" i="1"/>
  <c r="K382" i="1"/>
  <c r="H382" i="1"/>
  <c r="F382" i="1"/>
  <c r="D382" i="1"/>
  <c r="C382" i="1"/>
  <c r="Z381" i="1"/>
  <c r="Y381" i="1"/>
  <c r="X381" i="1"/>
  <c r="W381" i="1"/>
  <c r="K381" i="1"/>
  <c r="H381" i="1"/>
  <c r="F381" i="1"/>
  <c r="D381" i="1"/>
  <c r="C381" i="1"/>
  <c r="Z380" i="1"/>
  <c r="Y380" i="1"/>
  <c r="X380" i="1"/>
  <c r="W380" i="1"/>
  <c r="K380" i="1"/>
  <c r="H380" i="1"/>
  <c r="F380" i="1"/>
  <c r="D380" i="1"/>
  <c r="C380" i="1"/>
  <c r="Z379" i="1"/>
  <c r="Y379" i="1"/>
  <c r="X379" i="1"/>
  <c r="W379" i="1"/>
  <c r="K379" i="1"/>
  <c r="H379" i="1"/>
  <c r="F379" i="1"/>
  <c r="D379" i="1"/>
  <c r="C379" i="1"/>
  <c r="Z378" i="1"/>
  <c r="Y378" i="1"/>
  <c r="X378" i="1"/>
  <c r="W378" i="1"/>
  <c r="K378" i="1"/>
  <c r="H378" i="1"/>
  <c r="F378" i="1"/>
  <c r="D378" i="1"/>
  <c r="C378" i="1"/>
  <c r="Z377" i="1"/>
  <c r="Y377" i="1"/>
  <c r="X377" i="1"/>
  <c r="W377" i="1"/>
  <c r="K377" i="1"/>
  <c r="H377" i="1"/>
  <c r="F377" i="1"/>
  <c r="D377" i="1"/>
  <c r="C377" i="1"/>
  <c r="Z376" i="1"/>
  <c r="Y376" i="1"/>
  <c r="X376" i="1"/>
  <c r="W376" i="1"/>
  <c r="K376" i="1"/>
  <c r="H376" i="1"/>
  <c r="F376" i="1"/>
  <c r="D376" i="1"/>
  <c r="C376" i="1"/>
  <c r="Z375" i="1"/>
  <c r="Y375" i="1"/>
  <c r="X375" i="1"/>
  <c r="W375" i="1"/>
  <c r="K375" i="1"/>
  <c r="H375" i="1"/>
  <c r="F375" i="1"/>
  <c r="D375" i="1"/>
  <c r="C375" i="1"/>
  <c r="Z374" i="1"/>
  <c r="Y374" i="1"/>
  <c r="X374" i="1"/>
  <c r="W374" i="1"/>
  <c r="K374" i="1"/>
  <c r="H374" i="1"/>
  <c r="F374" i="1"/>
  <c r="D374" i="1"/>
  <c r="C374" i="1"/>
  <c r="Z373" i="1"/>
  <c r="Y373" i="1"/>
  <c r="X373" i="1"/>
  <c r="W373" i="1"/>
  <c r="K373" i="1"/>
  <c r="H373" i="1"/>
  <c r="F373" i="1"/>
  <c r="D373" i="1"/>
  <c r="C373" i="1"/>
  <c r="Z372" i="1"/>
  <c r="Y372" i="1"/>
  <c r="X372" i="1"/>
  <c r="W372" i="1"/>
  <c r="K372" i="1"/>
  <c r="H372" i="1"/>
  <c r="F372" i="1"/>
  <c r="D372" i="1"/>
  <c r="C372" i="1"/>
  <c r="Z371" i="1"/>
  <c r="Y371" i="1"/>
  <c r="X371" i="1"/>
  <c r="W371" i="1"/>
  <c r="K371" i="1"/>
  <c r="H371" i="1"/>
  <c r="F371" i="1"/>
  <c r="D371" i="1"/>
  <c r="C371" i="1"/>
  <c r="Z370" i="1"/>
  <c r="Y370" i="1"/>
  <c r="X370" i="1"/>
  <c r="W370" i="1"/>
  <c r="K370" i="1"/>
  <c r="H370" i="1"/>
  <c r="F370" i="1"/>
  <c r="D370" i="1"/>
  <c r="C370" i="1"/>
  <c r="Z369" i="1"/>
  <c r="Y369" i="1"/>
  <c r="X369" i="1"/>
  <c r="W369" i="1"/>
  <c r="K369" i="1"/>
  <c r="H369" i="1"/>
  <c r="F369" i="1"/>
  <c r="D369" i="1"/>
  <c r="C369" i="1"/>
  <c r="Z368" i="1"/>
  <c r="Y368" i="1"/>
  <c r="X368" i="1"/>
  <c r="W368" i="1"/>
  <c r="K368" i="1"/>
  <c r="H368" i="1"/>
  <c r="F368" i="1"/>
  <c r="D368" i="1"/>
  <c r="C368" i="1"/>
  <c r="Z367" i="1"/>
  <c r="Y367" i="1"/>
  <c r="X367" i="1"/>
  <c r="W367" i="1"/>
  <c r="K367" i="1"/>
  <c r="H367" i="1"/>
  <c r="F367" i="1"/>
  <c r="D367" i="1"/>
  <c r="C367" i="1"/>
  <c r="Z366" i="1"/>
  <c r="Y366" i="1"/>
  <c r="X366" i="1"/>
  <c r="W366" i="1"/>
  <c r="K366" i="1"/>
  <c r="H366" i="1"/>
  <c r="F366" i="1"/>
  <c r="D366" i="1"/>
  <c r="C366" i="1"/>
  <c r="Z365" i="1"/>
  <c r="Y365" i="1"/>
  <c r="X365" i="1"/>
  <c r="W365" i="1"/>
  <c r="K365" i="1"/>
  <c r="H365" i="1"/>
  <c r="F365" i="1"/>
  <c r="D365" i="1"/>
  <c r="C365" i="1"/>
  <c r="Z364" i="1"/>
  <c r="Y364" i="1"/>
  <c r="X364" i="1"/>
  <c r="W364" i="1"/>
  <c r="K364" i="1"/>
  <c r="H364" i="1"/>
  <c r="F364" i="1"/>
  <c r="D364" i="1"/>
  <c r="C364" i="1"/>
  <c r="Z363" i="1"/>
  <c r="Y363" i="1"/>
  <c r="X363" i="1"/>
  <c r="W363" i="1"/>
  <c r="K363" i="1"/>
  <c r="H363" i="1"/>
  <c r="F363" i="1"/>
  <c r="D363" i="1"/>
  <c r="C363" i="1"/>
  <c r="Z362" i="1"/>
  <c r="Y362" i="1"/>
  <c r="X362" i="1"/>
  <c r="W362" i="1"/>
  <c r="K362" i="1"/>
  <c r="H362" i="1"/>
  <c r="F362" i="1"/>
  <c r="D362" i="1"/>
  <c r="C362" i="1"/>
  <c r="Z361" i="1"/>
  <c r="Y361" i="1"/>
  <c r="X361" i="1"/>
  <c r="W361" i="1"/>
  <c r="K361" i="1"/>
  <c r="H361" i="1"/>
  <c r="F361" i="1"/>
  <c r="D361" i="1"/>
  <c r="C361" i="1"/>
  <c r="Z360" i="1"/>
  <c r="Y360" i="1"/>
  <c r="X360" i="1"/>
  <c r="W360" i="1"/>
  <c r="K360" i="1"/>
  <c r="H360" i="1"/>
  <c r="F360" i="1"/>
  <c r="D360" i="1"/>
  <c r="C360" i="1"/>
  <c r="Z359" i="1"/>
  <c r="Y359" i="1"/>
  <c r="X359" i="1"/>
  <c r="W359" i="1"/>
  <c r="K359" i="1"/>
  <c r="H359" i="1"/>
  <c r="F359" i="1"/>
  <c r="D359" i="1"/>
  <c r="C359" i="1"/>
  <c r="Z358" i="1"/>
  <c r="Y358" i="1"/>
  <c r="X358" i="1"/>
  <c r="W358" i="1"/>
  <c r="K358" i="1"/>
  <c r="H358" i="1"/>
  <c r="F358" i="1"/>
  <c r="D358" i="1"/>
  <c r="C358" i="1"/>
  <c r="Z357" i="1"/>
  <c r="Y357" i="1"/>
  <c r="X357" i="1"/>
  <c r="W357" i="1"/>
  <c r="K357" i="1"/>
  <c r="H357" i="1"/>
  <c r="F357" i="1"/>
  <c r="D357" i="1"/>
  <c r="C357" i="1"/>
  <c r="Z356" i="1"/>
  <c r="Y356" i="1"/>
  <c r="X356" i="1"/>
  <c r="W356" i="1"/>
  <c r="K356" i="1"/>
  <c r="H356" i="1"/>
  <c r="F356" i="1"/>
  <c r="D356" i="1"/>
  <c r="C356" i="1"/>
  <c r="Z355" i="1"/>
  <c r="Y355" i="1"/>
  <c r="X355" i="1"/>
  <c r="W355" i="1"/>
  <c r="K355" i="1"/>
  <c r="H355" i="1"/>
  <c r="F355" i="1"/>
  <c r="D355" i="1"/>
  <c r="C355" i="1"/>
  <c r="Z354" i="1"/>
  <c r="Y354" i="1"/>
  <c r="X354" i="1"/>
  <c r="W354" i="1"/>
  <c r="K354" i="1"/>
  <c r="H354" i="1"/>
  <c r="F354" i="1"/>
  <c r="D354" i="1"/>
  <c r="C354" i="1"/>
  <c r="Z353" i="1"/>
  <c r="Y353" i="1"/>
  <c r="X353" i="1"/>
  <c r="W353" i="1"/>
  <c r="K353" i="1"/>
  <c r="H353" i="1"/>
  <c r="F353" i="1"/>
  <c r="D353" i="1"/>
  <c r="C353" i="1"/>
  <c r="Z352" i="1"/>
  <c r="Y352" i="1"/>
  <c r="X352" i="1"/>
  <c r="W352" i="1"/>
  <c r="K352" i="1"/>
  <c r="H352" i="1"/>
  <c r="F352" i="1"/>
  <c r="D352" i="1"/>
  <c r="C352" i="1"/>
  <c r="Z351" i="1"/>
  <c r="Y351" i="1"/>
  <c r="X351" i="1"/>
  <c r="W351" i="1"/>
  <c r="K351" i="1"/>
  <c r="H351" i="1"/>
  <c r="F351" i="1"/>
  <c r="D351" i="1"/>
  <c r="C351" i="1"/>
  <c r="Z350" i="1"/>
  <c r="Y350" i="1"/>
  <c r="X350" i="1"/>
  <c r="W350" i="1"/>
  <c r="K350" i="1"/>
  <c r="H350" i="1"/>
  <c r="F350" i="1"/>
  <c r="D350" i="1"/>
  <c r="C350" i="1"/>
  <c r="Z349" i="1"/>
  <c r="Y349" i="1"/>
  <c r="X349" i="1"/>
  <c r="W349" i="1"/>
  <c r="K349" i="1"/>
  <c r="H349" i="1"/>
  <c r="F349" i="1"/>
  <c r="D349" i="1"/>
  <c r="C349" i="1"/>
  <c r="Z348" i="1"/>
  <c r="Y348" i="1"/>
  <c r="X348" i="1"/>
  <c r="W348" i="1"/>
  <c r="K348" i="1"/>
  <c r="H348" i="1"/>
  <c r="F348" i="1"/>
  <c r="D348" i="1"/>
  <c r="C348" i="1"/>
  <c r="Z347" i="1"/>
  <c r="Y347" i="1"/>
  <c r="X347" i="1"/>
  <c r="W347" i="1"/>
  <c r="K347" i="1"/>
  <c r="H347" i="1"/>
  <c r="F347" i="1"/>
  <c r="D347" i="1"/>
  <c r="C347" i="1"/>
  <c r="Z346" i="1"/>
  <c r="Y346" i="1"/>
  <c r="X346" i="1"/>
  <c r="W346" i="1"/>
  <c r="K346" i="1"/>
  <c r="H346" i="1"/>
  <c r="F346" i="1"/>
  <c r="D346" i="1"/>
  <c r="C346" i="1"/>
  <c r="Z345" i="1"/>
  <c r="Y345" i="1"/>
  <c r="X345" i="1"/>
  <c r="W345" i="1"/>
  <c r="K345" i="1"/>
  <c r="H345" i="1"/>
  <c r="F345" i="1"/>
  <c r="D345" i="1"/>
  <c r="C345" i="1"/>
  <c r="Z344" i="1"/>
  <c r="Y344" i="1"/>
  <c r="X344" i="1"/>
  <c r="W344" i="1"/>
  <c r="K344" i="1"/>
  <c r="H344" i="1"/>
  <c r="F344" i="1"/>
  <c r="D344" i="1"/>
  <c r="C344" i="1"/>
  <c r="Z343" i="1"/>
  <c r="Y343" i="1"/>
  <c r="X343" i="1"/>
  <c r="W343" i="1"/>
  <c r="K343" i="1"/>
  <c r="H343" i="1"/>
  <c r="F343" i="1"/>
  <c r="D343" i="1"/>
  <c r="C343" i="1"/>
  <c r="Z342" i="1"/>
  <c r="Y342" i="1"/>
  <c r="X342" i="1"/>
  <c r="W342" i="1"/>
  <c r="K342" i="1"/>
  <c r="H342" i="1"/>
  <c r="F342" i="1"/>
  <c r="D342" i="1"/>
  <c r="C342" i="1"/>
  <c r="Z341" i="1"/>
  <c r="Y341" i="1"/>
  <c r="X341" i="1"/>
  <c r="W341" i="1"/>
  <c r="K341" i="1"/>
  <c r="H341" i="1"/>
  <c r="F341" i="1"/>
  <c r="D341" i="1"/>
  <c r="C341" i="1"/>
  <c r="Z340" i="1"/>
  <c r="Y340" i="1"/>
  <c r="X340" i="1"/>
  <c r="W340" i="1"/>
  <c r="K340" i="1"/>
  <c r="H340" i="1"/>
  <c r="F340" i="1"/>
  <c r="D340" i="1"/>
  <c r="C340" i="1"/>
  <c r="Z339" i="1"/>
  <c r="Y339" i="1"/>
  <c r="X339" i="1"/>
  <c r="W339" i="1"/>
  <c r="K339" i="1"/>
  <c r="H339" i="1"/>
  <c r="F339" i="1"/>
  <c r="D339" i="1"/>
  <c r="C339" i="1"/>
  <c r="Z338" i="1"/>
  <c r="Y338" i="1"/>
  <c r="X338" i="1"/>
  <c r="W338" i="1"/>
  <c r="K338" i="1"/>
  <c r="H338" i="1"/>
  <c r="F338" i="1"/>
  <c r="D338" i="1"/>
  <c r="C338" i="1"/>
  <c r="Z337" i="1"/>
  <c r="Y337" i="1"/>
  <c r="X337" i="1"/>
  <c r="W337" i="1"/>
  <c r="K337" i="1"/>
  <c r="H337" i="1"/>
  <c r="F337" i="1"/>
  <c r="D337" i="1"/>
  <c r="C337" i="1"/>
  <c r="Z336" i="1"/>
  <c r="Y336" i="1"/>
  <c r="X336" i="1"/>
  <c r="W336" i="1"/>
  <c r="K336" i="1"/>
  <c r="H336" i="1"/>
  <c r="F336" i="1"/>
  <c r="D336" i="1"/>
  <c r="C336" i="1"/>
  <c r="Z335" i="1"/>
  <c r="Y335" i="1"/>
  <c r="X335" i="1"/>
  <c r="W335" i="1"/>
  <c r="K335" i="1"/>
  <c r="H335" i="1"/>
  <c r="F335" i="1"/>
  <c r="D335" i="1"/>
  <c r="C335" i="1"/>
  <c r="Z334" i="1"/>
  <c r="Y334" i="1"/>
  <c r="X334" i="1"/>
  <c r="W334" i="1"/>
  <c r="K334" i="1"/>
  <c r="H334" i="1"/>
  <c r="F334" i="1"/>
  <c r="D334" i="1"/>
  <c r="C334" i="1"/>
  <c r="Z333" i="1"/>
  <c r="Y333" i="1"/>
  <c r="X333" i="1"/>
  <c r="W333" i="1"/>
  <c r="K333" i="1"/>
  <c r="H333" i="1"/>
  <c r="F333" i="1"/>
  <c r="D333" i="1"/>
  <c r="C333" i="1"/>
  <c r="Z332" i="1"/>
  <c r="Y332" i="1"/>
  <c r="X332" i="1"/>
  <c r="W332" i="1"/>
  <c r="K332" i="1"/>
  <c r="H332" i="1"/>
  <c r="F332" i="1"/>
  <c r="D332" i="1"/>
  <c r="C332" i="1"/>
  <c r="Z331" i="1"/>
  <c r="Y331" i="1"/>
  <c r="X331" i="1"/>
  <c r="W331" i="1"/>
  <c r="K331" i="1"/>
  <c r="H331" i="1"/>
  <c r="F331" i="1"/>
  <c r="D331" i="1"/>
  <c r="C331" i="1"/>
  <c r="Z330" i="1"/>
  <c r="Y330" i="1"/>
  <c r="X330" i="1"/>
  <c r="W330" i="1"/>
  <c r="K330" i="1"/>
  <c r="H330" i="1"/>
  <c r="F330" i="1"/>
  <c r="D330" i="1"/>
  <c r="C330" i="1"/>
  <c r="Z329" i="1"/>
  <c r="Y329" i="1"/>
  <c r="X329" i="1"/>
  <c r="W329" i="1"/>
  <c r="K329" i="1"/>
  <c r="H329" i="1"/>
  <c r="F329" i="1"/>
  <c r="D329" i="1"/>
  <c r="C329" i="1"/>
  <c r="Z328" i="1"/>
  <c r="Y328" i="1"/>
  <c r="X328" i="1"/>
  <c r="W328" i="1"/>
  <c r="K328" i="1"/>
  <c r="H328" i="1"/>
  <c r="F328" i="1"/>
  <c r="D328" i="1"/>
  <c r="C328" i="1"/>
  <c r="Z327" i="1"/>
  <c r="Y327" i="1"/>
  <c r="X327" i="1"/>
  <c r="W327" i="1"/>
  <c r="K327" i="1"/>
  <c r="H327" i="1"/>
  <c r="F327" i="1"/>
  <c r="D327" i="1"/>
  <c r="C327" i="1"/>
  <c r="Z326" i="1"/>
  <c r="Y326" i="1"/>
  <c r="X326" i="1"/>
  <c r="W326" i="1"/>
  <c r="K326" i="1"/>
  <c r="H326" i="1"/>
  <c r="F326" i="1"/>
  <c r="D326" i="1"/>
  <c r="C326" i="1"/>
  <c r="Z325" i="1"/>
  <c r="Y325" i="1"/>
  <c r="X325" i="1"/>
  <c r="W325" i="1"/>
  <c r="K325" i="1"/>
  <c r="H325" i="1"/>
  <c r="F325" i="1"/>
  <c r="D325" i="1"/>
  <c r="C325" i="1"/>
  <c r="Z324" i="1"/>
  <c r="Y324" i="1"/>
  <c r="X324" i="1"/>
  <c r="W324" i="1"/>
  <c r="K324" i="1"/>
  <c r="H324" i="1"/>
  <c r="F324" i="1"/>
  <c r="D324" i="1"/>
  <c r="C324" i="1"/>
  <c r="Z323" i="1"/>
  <c r="Y323" i="1"/>
  <c r="X323" i="1"/>
  <c r="W323" i="1"/>
  <c r="K323" i="1"/>
  <c r="H323" i="1"/>
  <c r="F323" i="1"/>
  <c r="D323" i="1"/>
  <c r="C323" i="1"/>
  <c r="Z322" i="1"/>
  <c r="Y322" i="1"/>
  <c r="X322" i="1"/>
  <c r="W322" i="1"/>
  <c r="K322" i="1"/>
  <c r="H322" i="1"/>
  <c r="F322" i="1"/>
  <c r="D322" i="1"/>
  <c r="C322" i="1"/>
  <c r="Z321" i="1"/>
  <c r="Y321" i="1"/>
  <c r="X321" i="1"/>
  <c r="W321" i="1"/>
  <c r="K321" i="1"/>
  <c r="H321" i="1"/>
  <c r="F321" i="1"/>
  <c r="D321" i="1"/>
  <c r="C321" i="1"/>
  <c r="Z320" i="1"/>
  <c r="Y320" i="1"/>
  <c r="X320" i="1"/>
  <c r="W320" i="1"/>
  <c r="K320" i="1"/>
  <c r="H320" i="1"/>
  <c r="F320" i="1"/>
  <c r="D320" i="1"/>
  <c r="C320" i="1"/>
  <c r="Z319" i="1"/>
  <c r="Y319" i="1"/>
  <c r="X319" i="1"/>
  <c r="W319" i="1"/>
  <c r="K319" i="1"/>
  <c r="H319" i="1"/>
  <c r="F319" i="1"/>
  <c r="D319" i="1"/>
  <c r="C319" i="1"/>
  <c r="Z318" i="1"/>
  <c r="Y318" i="1"/>
  <c r="X318" i="1"/>
  <c r="W318" i="1"/>
  <c r="K318" i="1"/>
  <c r="H318" i="1"/>
  <c r="F318" i="1"/>
  <c r="D318" i="1"/>
  <c r="C318" i="1"/>
  <c r="Z317" i="1"/>
  <c r="Y317" i="1"/>
  <c r="X317" i="1"/>
  <c r="W317" i="1"/>
  <c r="K317" i="1"/>
  <c r="H317" i="1"/>
  <c r="F317" i="1"/>
  <c r="D317" i="1"/>
  <c r="C317" i="1"/>
  <c r="Z316" i="1"/>
  <c r="Y316" i="1"/>
  <c r="X316" i="1"/>
  <c r="W316" i="1"/>
  <c r="K316" i="1"/>
  <c r="H316" i="1"/>
  <c r="F316" i="1"/>
  <c r="D316" i="1"/>
  <c r="C316" i="1"/>
  <c r="Z315" i="1"/>
  <c r="Y315" i="1"/>
  <c r="X315" i="1"/>
  <c r="W315" i="1"/>
  <c r="K315" i="1"/>
  <c r="H315" i="1"/>
  <c r="F315" i="1"/>
  <c r="D315" i="1"/>
  <c r="C315" i="1"/>
  <c r="Z314" i="1"/>
  <c r="Y314" i="1"/>
  <c r="X314" i="1"/>
  <c r="W314" i="1"/>
  <c r="K314" i="1"/>
  <c r="H314" i="1"/>
  <c r="F314" i="1"/>
  <c r="D314" i="1"/>
  <c r="C314" i="1"/>
  <c r="Z313" i="1"/>
  <c r="Y313" i="1"/>
  <c r="X313" i="1"/>
  <c r="W313" i="1"/>
  <c r="K313" i="1"/>
  <c r="H313" i="1"/>
  <c r="F313" i="1"/>
  <c r="D313" i="1"/>
  <c r="C313" i="1"/>
  <c r="Z312" i="1"/>
  <c r="Y312" i="1"/>
  <c r="X312" i="1"/>
  <c r="W312" i="1"/>
  <c r="K312" i="1"/>
  <c r="H312" i="1"/>
  <c r="F312" i="1"/>
  <c r="D312" i="1"/>
  <c r="C312" i="1"/>
  <c r="Z311" i="1"/>
  <c r="Y311" i="1"/>
  <c r="X311" i="1"/>
  <c r="W311" i="1"/>
  <c r="K311" i="1"/>
  <c r="H311" i="1"/>
  <c r="F311" i="1"/>
  <c r="D311" i="1"/>
  <c r="C311" i="1"/>
  <c r="Z310" i="1"/>
  <c r="Y310" i="1"/>
  <c r="X310" i="1"/>
  <c r="W310" i="1"/>
  <c r="K310" i="1"/>
  <c r="H310" i="1"/>
  <c r="F310" i="1"/>
  <c r="D310" i="1"/>
  <c r="C310" i="1"/>
  <c r="Z309" i="1"/>
  <c r="Y309" i="1"/>
  <c r="X309" i="1"/>
  <c r="W309" i="1"/>
  <c r="K309" i="1"/>
  <c r="H309" i="1"/>
  <c r="F309" i="1"/>
  <c r="D309" i="1"/>
  <c r="C309" i="1"/>
  <c r="Z308" i="1"/>
  <c r="Y308" i="1"/>
  <c r="X308" i="1"/>
  <c r="W308" i="1"/>
  <c r="K308" i="1"/>
  <c r="H308" i="1"/>
  <c r="F308" i="1"/>
  <c r="D308" i="1"/>
  <c r="C308" i="1"/>
  <c r="Z307" i="1"/>
  <c r="Y307" i="1"/>
  <c r="X307" i="1"/>
  <c r="W307" i="1"/>
  <c r="K307" i="1"/>
  <c r="H307" i="1"/>
  <c r="F307" i="1"/>
  <c r="D307" i="1"/>
  <c r="C307" i="1"/>
  <c r="Z306" i="1"/>
  <c r="Y306" i="1"/>
  <c r="X306" i="1"/>
  <c r="W306" i="1"/>
  <c r="K306" i="1"/>
  <c r="H306" i="1"/>
  <c r="F306" i="1"/>
  <c r="D306" i="1"/>
  <c r="C306" i="1"/>
  <c r="Z305" i="1"/>
  <c r="Y305" i="1"/>
  <c r="X305" i="1"/>
  <c r="W305" i="1"/>
  <c r="K305" i="1"/>
  <c r="H305" i="1"/>
  <c r="F305" i="1"/>
  <c r="D305" i="1"/>
  <c r="C305" i="1"/>
  <c r="Z304" i="1"/>
  <c r="Y304" i="1"/>
  <c r="X304" i="1"/>
  <c r="W304" i="1"/>
  <c r="K304" i="1"/>
  <c r="H304" i="1"/>
  <c r="F304" i="1"/>
  <c r="D304" i="1"/>
  <c r="C304" i="1"/>
  <c r="Z303" i="1"/>
  <c r="Y303" i="1"/>
  <c r="X303" i="1"/>
  <c r="W303" i="1"/>
  <c r="K303" i="1"/>
  <c r="H303" i="1"/>
  <c r="F303" i="1"/>
  <c r="D303" i="1"/>
  <c r="C303" i="1"/>
  <c r="Z302" i="1"/>
  <c r="Y302" i="1"/>
  <c r="X302" i="1"/>
  <c r="W302" i="1"/>
  <c r="K302" i="1"/>
  <c r="H302" i="1"/>
  <c r="F302" i="1"/>
  <c r="D302" i="1"/>
  <c r="C302" i="1"/>
  <c r="Z301" i="1"/>
  <c r="Y301" i="1"/>
  <c r="X301" i="1"/>
  <c r="W301" i="1"/>
  <c r="K301" i="1"/>
  <c r="H301" i="1"/>
  <c r="F301" i="1"/>
  <c r="D301" i="1"/>
  <c r="C301" i="1"/>
  <c r="Z300" i="1"/>
  <c r="Y300" i="1"/>
  <c r="X300" i="1"/>
  <c r="W300" i="1"/>
  <c r="K300" i="1"/>
  <c r="H300" i="1"/>
  <c r="F300" i="1"/>
  <c r="D300" i="1"/>
  <c r="C300" i="1"/>
  <c r="Z299" i="1"/>
  <c r="Y299" i="1"/>
  <c r="X299" i="1"/>
  <c r="W299" i="1"/>
  <c r="K299" i="1"/>
  <c r="H299" i="1"/>
  <c r="F299" i="1"/>
  <c r="D299" i="1"/>
  <c r="C299" i="1"/>
  <c r="Z298" i="1"/>
  <c r="Y298" i="1"/>
  <c r="X298" i="1"/>
  <c r="W298" i="1"/>
  <c r="K298" i="1"/>
  <c r="H298" i="1"/>
  <c r="F298" i="1"/>
  <c r="D298" i="1"/>
  <c r="C298" i="1"/>
  <c r="Z297" i="1"/>
  <c r="Y297" i="1"/>
  <c r="X297" i="1"/>
  <c r="W297" i="1"/>
  <c r="K297" i="1"/>
  <c r="H297" i="1"/>
  <c r="F297" i="1"/>
  <c r="D297" i="1"/>
  <c r="C297" i="1"/>
  <c r="Z296" i="1"/>
  <c r="Y296" i="1"/>
  <c r="X296" i="1"/>
  <c r="W296" i="1"/>
  <c r="K296" i="1"/>
  <c r="H296" i="1"/>
  <c r="F296" i="1"/>
  <c r="D296" i="1"/>
  <c r="C296" i="1"/>
  <c r="Z295" i="1"/>
  <c r="Y295" i="1"/>
  <c r="X295" i="1"/>
  <c r="W295" i="1"/>
  <c r="K295" i="1"/>
  <c r="H295" i="1"/>
  <c r="F295" i="1"/>
  <c r="D295" i="1"/>
  <c r="C295" i="1"/>
  <c r="Z294" i="1"/>
  <c r="Y294" i="1"/>
  <c r="X294" i="1"/>
  <c r="W294" i="1"/>
  <c r="K294" i="1"/>
  <c r="H294" i="1"/>
  <c r="F294" i="1"/>
  <c r="D294" i="1"/>
  <c r="C294" i="1"/>
  <c r="Z293" i="1"/>
  <c r="Y293" i="1"/>
  <c r="X293" i="1"/>
  <c r="W293" i="1"/>
  <c r="K293" i="1"/>
  <c r="H293" i="1"/>
  <c r="F293" i="1"/>
  <c r="D293" i="1"/>
  <c r="C293" i="1"/>
  <c r="Z292" i="1"/>
  <c r="Y292" i="1"/>
  <c r="X292" i="1"/>
  <c r="W292" i="1"/>
  <c r="K292" i="1"/>
  <c r="H292" i="1"/>
  <c r="F292" i="1"/>
  <c r="D292" i="1"/>
  <c r="C292" i="1"/>
  <c r="Z291" i="1"/>
  <c r="Y291" i="1"/>
  <c r="X291" i="1"/>
  <c r="W291" i="1"/>
  <c r="K291" i="1"/>
  <c r="H291" i="1"/>
  <c r="F291" i="1"/>
  <c r="D291" i="1"/>
  <c r="C291" i="1"/>
  <c r="Z290" i="1"/>
  <c r="Y290" i="1"/>
  <c r="X290" i="1"/>
  <c r="W290" i="1"/>
  <c r="K290" i="1"/>
  <c r="H290" i="1"/>
  <c r="F290" i="1"/>
  <c r="D290" i="1"/>
  <c r="C290" i="1"/>
  <c r="Z289" i="1"/>
  <c r="Y289" i="1"/>
  <c r="X289" i="1"/>
  <c r="W289" i="1"/>
  <c r="K289" i="1"/>
  <c r="H289" i="1"/>
  <c r="F289" i="1"/>
  <c r="D289" i="1"/>
  <c r="C289" i="1"/>
  <c r="Z288" i="1"/>
  <c r="Y288" i="1"/>
  <c r="X288" i="1"/>
  <c r="W288" i="1"/>
  <c r="K288" i="1"/>
  <c r="H288" i="1"/>
  <c r="F288" i="1"/>
  <c r="D288" i="1"/>
  <c r="C288" i="1"/>
  <c r="Z287" i="1"/>
  <c r="Y287" i="1"/>
  <c r="X287" i="1"/>
  <c r="W287" i="1"/>
  <c r="K287" i="1"/>
  <c r="H287" i="1"/>
  <c r="F287" i="1"/>
  <c r="D287" i="1"/>
  <c r="C287" i="1"/>
  <c r="Z286" i="1"/>
  <c r="Y286" i="1"/>
  <c r="X286" i="1"/>
  <c r="W286" i="1"/>
  <c r="K286" i="1"/>
  <c r="H286" i="1"/>
  <c r="F286" i="1"/>
  <c r="D286" i="1"/>
  <c r="C286" i="1"/>
  <c r="Z285" i="1"/>
  <c r="Y285" i="1"/>
  <c r="X285" i="1"/>
  <c r="W285" i="1"/>
  <c r="K285" i="1"/>
  <c r="H285" i="1"/>
  <c r="F285" i="1"/>
  <c r="D285" i="1"/>
  <c r="C285" i="1"/>
  <c r="Z284" i="1"/>
  <c r="Y284" i="1"/>
  <c r="X284" i="1"/>
  <c r="W284" i="1"/>
  <c r="K284" i="1"/>
  <c r="H284" i="1"/>
  <c r="F284" i="1"/>
  <c r="D284" i="1"/>
  <c r="C284" i="1"/>
  <c r="Z283" i="1"/>
  <c r="Y283" i="1"/>
  <c r="X283" i="1"/>
  <c r="W283" i="1"/>
  <c r="K283" i="1"/>
  <c r="H283" i="1"/>
  <c r="F283" i="1"/>
  <c r="D283" i="1"/>
  <c r="C283" i="1"/>
  <c r="Z282" i="1"/>
  <c r="Y282" i="1"/>
  <c r="X282" i="1"/>
  <c r="W282" i="1"/>
  <c r="K282" i="1"/>
  <c r="H282" i="1"/>
  <c r="F282" i="1"/>
  <c r="D282" i="1"/>
  <c r="C282" i="1"/>
  <c r="Z281" i="1"/>
  <c r="Y281" i="1"/>
  <c r="X281" i="1"/>
  <c r="W281" i="1"/>
  <c r="K281" i="1"/>
  <c r="H281" i="1"/>
  <c r="F281" i="1"/>
  <c r="D281" i="1"/>
  <c r="C281" i="1"/>
  <c r="Z280" i="1"/>
  <c r="Y280" i="1"/>
  <c r="X280" i="1"/>
  <c r="W280" i="1"/>
  <c r="K280" i="1"/>
  <c r="H280" i="1"/>
  <c r="F280" i="1"/>
  <c r="D280" i="1"/>
  <c r="C280" i="1"/>
  <c r="Z279" i="1"/>
  <c r="Y279" i="1"/>
  <c r="X279" i="1"/>
  <c r="W279" i="1"/>
  <c r="K279" i="1"/>
  <c r="H279" i="1"/>
  <c r="F279" i="1"/>
  <c r="D279" i="1"/>
  <c r="C279" i="1"/>
  <c r="Z278" i="1"/>
  <c r="Y278" i="1"/>
  <c r="X278" i="1"/>
  <c r="W278" i="1"/>
  <c r="K278" i="1"/>
  <c r="H278" i="1"/>
  <c r="F278" i="1"/>
  <c r="D278" i="1"/>
  <c r="C278" i="1"/>
  <c r="Z277" i="1"/>
  <c r="Y277" i="1"/>
  <c r="X277" i="1"/>
  <c r="W277" i="1"/>
  <c r="K277" i="1"/>
  <c r="H277" i="1"/>
  <c r="F277" i="1"/>
  <c r="D277" i="1"/>
  <c r="C277" i="1"/>
  <c r="Z276" i="1"/>
  <c r="Y276" i="1"/>
  <c r="X276" i="1"/>
  <c r="W276" i="1"/>
  <c r="K276" i="1"/>
  <c r="H276" i="1"/>
  <c r="F276" i="1"/>
  <c r="D276" i="1"/>
  <c r="C276" i="1"/>
  <c r="Z275" i="1"/>
  <c r="Y275" i="1"/>
  <c r="X275" i="1"/>
  <c r="W275" i="1"/>
  <c r="K275" i="1"/>
  <c r="H275" i="1"/>
  <c r="F275" i="1"/>
  <c r="D275" i="1"/>
  <c r="C275" i="1"/>
  <c r="Z274" i="1"/>
  <c r="Y274" i="1"/>
  <c r="X274" i="1"/>
  <c r="W274" i="1"/>
  <c r="K274" i="1"/>
  <c r="H274" i="1"/>
  <c r="F274" i="1"/>
  <c r="D274" i="1"/>
  <c r="C274" i="1"/>
  <c r="Z273" i="1"/>
  <c r="Y273" i="1"/>
  <c r="X273" i="1"/>
  <c r="W273" i="1"/>
  <c r="K273" i="1"/>
  <c r="H273" i="1"/>
  <c r="F273" i="1"/>
  <c r="D273" i="1"/>
  <c r="C273" i="1"/>
  <c r="Z272" i="1"/>
  <c r="Y272" i="1"/>
  <c r="X272" i="1"/>
  <c r="W272" i="1"/>
  <c r="K272" i="1"/>
  <c r="H272" i="1"/>
  <c r="F272" i="1"/>
  <c r="D272" i="1"/>
  <c r="C272" i="1"/>
  <c r="Z271" i="1"/>
  <c r="Y271" i="1"/>
  <c r="X271" i="1"/>
  <c r="W271" i="1"/>
  <c r="K271" i="1"/>
  <c r="H271" i="1"/>
  <c r="F271" i="1"/>
  <c r="D271" i="1"/>
  <c r="C271" i="1"/>
  <c r="Z270" i="1"/>
  <c r="Y270" i="1"/>
  <c r="X270" i="1"/>
  <c r="W270" i="1"/>
  <c r="K270" i="1"/>
  <c r="H270" i="1"/>
  <c r="F270" i="1"/>
  <c r="D270" i="1"/>
  <c r="C270" i="1"/>
  <c r="Z269" i="1"/>
  <c r="Y269" i="1"/>
  <c r="X269" i="1"/>
  <c r="W269" i="1"/>
  <c r="K269" i="1"/>
  <c r="H269" i="1"/>
  <c r="F269" i="1"/>
  <c r="D269" i="1"/>
  <c r="C269" i="1"/>
  <c r="Z268" i="1"/>
  <c r="Y268" i="1"/>
  <c r="X268" i="1"/>
  <c r="W268" i="1"/>
  <c r="K268" i="1"/>
  <c r="H268" i="1"/>
  <c r="F268" i="1"/>
  <c r="D268" i="1"/>
  <c r="C268" i="1"/>
  <c r="Z267" i="1"/>
  <c r="Y267" i="1"/>
  <c r="X267" i="1"/>
  <c r="W267" i="1"/>
  <c r="K267" i="1"/>
  <c r="H267" i="1"/>
  <c r="F267" i="1"/>
  <c r="D267" i="1"/>
  <c r="C267" i="1"/>
  <c r="Z266" i="1"/>
  <c r="Y266" i="1"/>
  <c r="X266" i="1"/>
  <c r="W266" i="1"/>
  <c r="K266" i="1"/>
  <c r="H266" i="1"/>
  <c r="F266" i="1"/>
  <c r="D266" i="1"/>
  <c r="C266" i="1"/>
  <c r="Z265" i="1"/>
  <c r="Y265" i="1"/>
  <c r="X265" i="1"/>
  <c r="W265" i="1"/>
  <c r="K265" i="1"/>
  <c r="H265" i="1"/>
  <c r="F265" i="1"/>
  <c r="D265" i="1"/>
  <c r="C265" i="1"/>
  <c r="Z264" i="1"/>
  <c r="Y264" i="1"/>
  <c r="X264" i="1"/>
  <c r="W264" i="1"/>
  <c r="K264" i="1"/>
  <c r="H264" i="1"/>
  <c r="F264" i="1"/>
  <c r="D264" i="1"/>
  <c r="C264" i="1"/>
  <c r="Z263" i="1"/>
  <c r="Y263" i="1"/>
  <c r="X263" i="1"/>
  <c r="W263" i="1"/>
  <c r="K263" i="1"/>
  <c r="H263" i="1"/>
  <c r="F263" i="1"/>
  <c r="D263" i="1"/>
  <c r="C263" i="1"/>
  <c r="Z262" i="1"/>
  <c r="Y262" i="1"/>
  <c r="X262" i="1"/>
  <c r="W262" i="1"/>
  <c r="K262" i="1"/>
  <c r="H262" i="1"/>
  <c r="F262" i="1"/>
  <c r="D262" i="1"/>
  <c r="C262" i="1"/>
  <c r="Z261" i="1"/>
  <c r="Y261" i="1"/>
  <c r="X261" i="1"/>
  <c r="W261" i="1"/>
  <c r="K261" i="1"/>
  <c r="H261" i="1"/>
  <c r="F261" i="1"/>
  <c r="D261" i="1"/>
  <c r="C261" i="1"/>
  <c r="Z260" i="1"/>
  <c r="Y260" i="1"/>
  <c r="X260" i="1"/>
  <c r="W260" i="1"/>
  <c r="K260" i="1"/>
  <c r="H260" i="1"/>
  <c r="F260" i="1"/>
  <c r="D260" i="1"/>
  <c r="C260" i="1"/>
  <c r="Z259" i="1"/>
  <c r="Y259" i="1"/>
  <c r="X259" i="1"/>
  <c r="W259" i="1"/>
  <c r="K259" i="1"/>
  <c r="H259" i="1"/>
  <c r="F259" i="1"/>
  <c r="D259" i="1"/>
  <c r="C259" i="1"/>
  <c r="Z258" i="1"/>
  <c r="Y258" i="1"/>
  <c r="X258" i="1"/>
  <c r="W258" i="1"/>
  <c r="K258" i="1"/>
  <c r="H258" i="1"/>
  <c r="F258" i="1"/>
  <c r="D258" i="1"/>
  <c r="C258" i="1"/>
  <c r="Z257" i="1"/>
  <c r="Y257" i="1"/>
  <c r="X257" i="1"/>
  <c r="W257" i="1"/>
  <c r="K257" i="1"/>
  <c r="H257" i="1"/>
  <c r="F257" i="1"/>
  <c r="D257" i="1"/>
  <c r="C257" i="1"/>
  <c r="Z256" i="1"/>
  <c r="Y256" i="1"/>
  <c r="X256" i="1"/>
  <c r="W256" i="1"/>
  <c r="K256" i="1"/>
  <c r="H256" i="1"/>
  <c r="F256" i="1"/>
  <c r="D256" i="1"/>
  <c r="C256" i="1"/>
  <c r="Z255" i="1"/>
  <c r="Y255" i="1"/>
  <c r="X255" i="1"/>
  <c r="W255" i="1"/>
  <c r="K255" i="1"/>
  <c r="H255" i="1"/>
  <c r="F255" i="1"/>
  <c r="D255" i="1"/>
  <c r="C255" i="1"/>
  <c r="Z254" i="1"/>
  <c r="Y254" i="1"/>
  <c r="X254" i="1"/>
  <c r="W254" i="1"/>
  <c r="K254" i="1"/>
  <c r="H254" i="1"/>
  <c r="F254" i="1"/>
  <c r="D254" i="1"/>
  <c r="C254" i="1"/>
  <c r="Z253" i="1"/>
  <c r="Y253" i="1"/>
  <c r="X253" i="1"/>
  <c r="W253" i="1"/>
  <c r="K253" i="1"/>
  <c r="H253" i="1"/>
  <c r="F253" i="1"/>
  <c r="D253" i="1"/>
  <c r="C253" i="1"/>
  <c r="Z252" i="1"/>
  <c r="Y252" i="1"/>
  <c r="X252" i="1"/>
  <c r="W252" i="1"/>
  <c r="K252" i="1"/>
  <c r="H252" i="1"/>
  <c r="F252" i="1"/>
  <c r="D252" i="1"/>
  <c r="C252" i="1"/>
  <c r="Z251" i="1"/>
  <c r="Y251" i="1"/>
  <c r="X251" i="1"/>
  <c r="W251" i="1"/>
  <c r="K251" i="1"/>
  <c r="H251" i="1"/>
  <c r="F251" i="1"/>
  <c r="D251" i="1"/>
  <c r="C251" i="1"/>
  <c r="Z250" i="1"/>
  <c r="Y250" i="1"/>
  <c r="X250" i="1"/>
  <c r="W250" i="1"/>
  <c r="K250" i="1"/>
  <c r="H250" i="1"/>
  <c r="F250" i="1"/>
  <c r="D250" i="1"/>
  <c r="C250" i="1"/>
  <c r="Z249" i="1"/>
  <c r="Y249" i="1"/>
  <c r="X249" i="1"/>
  <c r="W249" i="1"/>
  <c r="K249" i="1"/>
  <c r="H249" i="1"/>
  <c r="F249" i="1"/>
  <c r="D249" i="1"/>
  <c r="C249" i="1"/>
  <c r="Z248" i="1"/>
  <c r="Y248" i="1"/>
  <c r="X248" i="1"/>
  <c r="W248" i="1"/>
  <c r="K248" i="1"/>
  <c r="H248" i="1"/>
  <c r="F248" i="1"/>
  <c r="D248" i="1"/>
  <c r="C248" i="1"/>
  <c r="Z247" i="1"/>
  <c r="Y247" i="1"/>
  <c r="X247" i="1"/>
  <c r="W247" i="1"/>
  <c r="K247" i="1"/>
  <c r="H247" i="1"/>
  <c r="F247" i="1"/>
  <c r="D247" i="1"/>
  <c r="C247" i="1"/>
  <c r="Z246" i="1"/>
  <c r="Y246" i="1"/>
  <c r="X246" i="1"/>
  <c r="W246" i="1"/>
  <c r="K246" i="1"/>
  <c r="H246" i="1"/>
  <c r="F246" i="1"/>
  <c r="D246" i="1"/>
  <c r="C246" i="1"/>
  <c r="Z245" i="1"/>
  <c r="Y245" i="1"/>
  <c r="X245" i="1"/>
  <c r="W245" i="1"/>
  <c r="K245" i="1"/>
  <c r="H245" i="1"/>
  <c r="F245" i="1"/>
  <c r="D245" i="1"/>
  <c r="C245" i="1"/>
  <c r="Z244" i="1"/>
  <c r="Y244" i="1"/>
  <c r="X244" i="1"/>
  <c r="W244" i="1"/>
  <c r="K244" i="1"/>
  <c r="H244" i="1"/>
  <c r="F244" i="1"/>
  <c r="D244" i="1"/>
  <c r="C244" i="1"/>
  <c r="Z243" i="1"/>
  <c r="Y243" i="1"/>
  <c r="X243" i="1"/>
  <c r="W243" i="1"/>
  <c r="K243" i="1"/>
  <c r="H243" i="1"/>
  <c r="F243" i="1"/>
  <c r="D243" i="1"/>
  <c r="C243" i="1"/>
  <c r="Z242" i="1"/>
  <c r="Y242" i="1"/>
  <c r="X242" i="1"/>
  <c r="W242" i="1"/>
  <c r="K242" i="1"/>
  <c r="H242" i="1"/>
  <c r="F242" i="1"/>
  <c r="D242" i="1"/>
  <c r="C242" i="1"/>
  <c r="Z241" i="1"/>
  <c r="Y241" i="1"/>
  <c r="X241" i="1"/>
  <c r="W241" i="1"/>
  <c r="K241" i="1"/>
  <c r="H241" i="1"/>
  <c r="F241" i="1"/>
  <c r="D241" i="1"/>
  <c r="C241" i="1"/>
  <c r="Z240" i="1"/>
  <c r="Y240" i="1"/>
  <c r="X240" i="1"/>
  <c r="W240" i="1"/>
  <c r="K240" i="1"/>
  <c r="H240" i="1"/>
  <c r="F240" i="1"/>
  <c r="D240" i="1"/>
  <c r="C240" i="1"/>
  <c r="Z239" i="1"/>
  <c r="Y239" i="1"/>
  <c r="X239" i="1"/>
  <c r="W239" i="1"/>
  <c r="K239" i="1"/>
  <c r="H239" i="1"/>
  <c r="F239" i="1"/>
  <c r="D239" i="1"/>
  <c r="C239" i="1"/>
  <c r="Z238" i="1"/>
  <c r="Y238" i="1"/>
  <c r="X238" i="1"/>
  <c r="W238" i="1"/>
  <c r="K238" i="1"/>
  <c r="H238" i="1"/>
  <c r="F238" i="1"/>
  <c r="D238" i="1"/>
  <c r="C238" i="1"/>
  <c r="Z237" i="1"/>
  <c r="Y237" i="1"/>
  <c r="X237" i="1"/>
  <c r="W237" i="1"/>
  <c r="K237" i="1"/>
  <c r="H237" i="1"/>
  <c r="F237" i="1"/>
  <c r="D237" i="1"/>
  <c r="C237" i="1"/>
  <c r="Z236" i="1"/>
  <c r="Y236" i="1"/>
  <c r="X236" i="1"/>
  <c r="W236" i="1"/>
  <c r="K236" i="1"/>
  <c r="H236" i="1"/>
  <c r="F236" i="1"/>
  <c r="D236" i="1"/>
  <c r="C236" i="1"/>
  <c r="Z235" i="1"/>
  <c r="Y235" i="1"/>
  <c r="X235" i="1"/>
  <c r="W235" i="1"/>
  <c r="K235" i="1"/>
  <c r="H235" i="1"/>
  <c r="F235" i="1"/>
  <c r="D235" i="1"/>
  <c r="C235" i="1"/>
  <c r="Z234" i="1"/>
  <c r="Y234" i="1"/>
  <c r="X234" i="1"/>
  <c r="W234" i="1"/>
  <c r="K234" i="1"/>
  <c r="H234" i="1"/>
  <c r="F234" i="1"/>
  <c r="D234" i="1"/>
  <c r="C234" i="1"/>
  <c r="Z233" i="1"/>
  <c r="Y233" i="1"/>
  <c r="X233" i="1"/>
  <c r="W233" i="1"/>
  <c r="K233" i="1"/>
  <c r="H233" i="1"/>
  <c r="F233" i="1"/>
  <c r="D233" i="1"/>
  <c r="C233" i="1"/>
  <c r="Z232" i="1"/>
  <c r="Y232" i="1"/>
  <c r="X232" i="1"/>
  <c r="W232" i="1"/>
  <c r="K232" i="1"/>
  <c r="H232" i="1"/>
  <c r="F232" i="1"/>
  <c r="D232" i="1"/>
  <c r="C232" i="1"/>
  <c r="Z231" i="1"/>
  <c r="Y231" i="1"/>
  <c r="X231" i="1"/>
  <c r="W231" i="1"/>
  <c r="K231" i="1"/>
  <c r="H231" i="1"/>
  <c r="F231" i="1"/>
  <c r="D231" i="1"/>
  <c r="C231" i="1"/>
  <c r="Z230" i="1"/>
  <c r="Y230" i="1"/>
  <c r="X230" i="1"/>
  <c r="W230" i="1"/>
  <c r="K230" i="1"/>
  <c r="H230" i="1"/>
  <c r="F230" i="1"/>
  <c r="D230" i="1"/>
  <c r="C230" i="1"/>
  <c r="Z229" i="1"/>
  <c r="Y229" i="1"/>
  <c r="X229" i="1"/>
  <c r="W229" i="1"/>
  <c r="K229" i="1"/>
  <c r="H229" i="1"/>
  <c r="F229" i="1"/>
  <c r="D229" i="1"/>
  <c r="C229" i="1"/>
  <c r="Z228" i="1"/>
  <c r="Y228" i="1"/>
  <c r="X228" i="1"/>
  <c r="W228" i="1"/>
  <c r="K228" i="1"/>
  <c r="H228" i="1"/>
  <c r="F228" i="1"/>
  <c r="D228" i="1"/>
  <c r="C228" i="1"/>
  <c r="Z227" i="1"/>
  <c r="Y227" i="1"/>
  <c r="X227" i="1"/>
  <c r="W227" i="1"/>
  <c r="K227" i="1"/>
  <c r="H227" i="1"/>
  <c r="F227" i="1"/>
  <c r="D227" i="1"/>
  <c r="C227" i="1"/>
  <c r="Z226" i="1"/>
  <c r="Y226" i="1"/>
  <c r="X226" i="1"/>
  <c r="W226" i="1"/>
  <c r="K226" i="1"/>
  <c r="H226" i="1"/>
  <c r="F226" i="1"/>
  <c r="D226" i="1"/>
  <c r="C226" i="1"/>
  <c r="Z225" i="1"/>
  <c r="Y225" i="1"/>
  <c r="X225" i="1"/>
  <c r="W225" i="1"/>
  <c r="K225" i="1"/>
  <c r="H225" i="1"/>
  <c r="F225" i="1"/>
  <c r="D225" i="1"/>
  <c r="C225" i="1"/>
  <c r="Z224" i="1"/>
  <c r="Y224" i="1"/>
  <c r="X224" i="1"/>
  <c r="W224" i="1"/>
  <c r="K224" i="1"/>
  <c r="H224" i="1"/>
  <c r="F224" i="1"/>
  <c r="D224" i="1"/>
  <c r="C224" i="1"/>
  <c r="Z223" i="1"/>
  <c r="Y223" i="1"/>
  <c r="X223" i="1"/>
  <c r="W223" i="1"/>
  <c r="K223" i="1"/>
  <c r="H223" i="1"/>
  <c r="F223" i="1"/>
  <c r="D223" i="1"/>
  <c r="C223" i="1"/>
  <c r="Z222" i="1"/>
  <c r="Y222" i="1"/>
  <c r="X222" i="1"/>
  <c r="W222" i="1"/>
  <c r="K222" i="1"/>
  <c r="H222" i="1"/>
  <c r="F222" i="1"/>
  <c r="D222" i="1"/>
  <c r="C222" i="1"/>
  <c r="Z221" i="1"/>
  <c r="Y221" i="1"/>
  <c r="X221" i="1"/>
  <c r="W221" i="1"/>
  <c r="K221" i="1"/>
  <c r="H221" i="1"/>
  <c r="F221" i="1"/>
  <c r="D221" i="1"/>
  <c r="C221" i="1"/>
  <c r="Z220" i="1"/>
  <c r="Y220" i="1"/>
  <c r="X220" i="1"/>
  <c r="W220" i="1"/>
  <c r="K220" i="1"/>
  <c r="H220" i="1"/>
  <c r="F220" i="1"/>
  <c r="D220" i="1"/>
  <c r="C220" i="1"/>
  <c r="Z219" i="1"/>
  <c r="Y219" i="1"/>
  <c r="X219" i="1"/>
  <c r="W219" i="1"/>
  <c r="K219" i="1"/>
  <c r="H219" i="1"/>
  <c r="F219" i="1"/>
  <c r="D219" i="1"/>
  <c r="C219" i="1"/>
  <c r="Z218" i="1"/>
  <c r="Y218" i="1"/>
  <c r="X218" i="1"/>
  <c r="W218" i="1"/>
  <c r="K218" i="1"/>
  <c r="H218" i="1"/>
  <c r="F218" i="1"/>
  <c r="D218" i="1"/>
  <c r="C218" i="1"/>
  <c r="Z217" i="1"/>
  <c r="Y217" i="1"/>
  <c r="X217" i="1"/>
  <c r="W217" i="1"/>
  <c r="K217" i="1"/>
  <c r="H217" i="1"/>
  <c r="F217" i="1"/>
  <c r="D217" i="1"/>
  <c r="C217" i="1"/>
  <c r="Z216" i="1"/>
  <c r="Y216" i="1"/>
  <c r="X216" i="1"/>
  <c r="W216" i="1"/>
  <c r="K216" i="1"/>
  <c r="H216" i="1"/>
  <c r="F216" i="1"/>
  <c r="D216" i="1"/>
  <c r="C216" i="1"/>
  <c r="Z215" i="1"/>
  <c r="Y215" i="1"/>
  <c r="X215" i="1"/>
  <c r="W215" i="1"/>
  <c r="K215" i="1"/>
  <c r="H215" i="1"/>
  <c r="F215" i="1"/>
  <c r="D215" i="1"/>
  <c r="C215" i="1"/>
  <c r="Z214" i="1"/>
  <c r="Y214" i="1"/>
  <c r="X214" i="1"/>
  <c r="W214" i="1"/>
  <c r="K214" i="1"/>
  <c r="H214" i="1"/>
  <c r="F214" i="1"/>
  <c r="D214" i="1"/>
  <c r="C214" i="1"/>
  <c r="Z213" i="1"/>
  <c r="Y213" i="1"/>
  <c r="X213" i="1"/>
  <c r="W213" i="1"/>
  <c r="K213" i="1"/>
  <c r="H213" i="1"/>
  <c r="F213" i="1"/>
  <c r="D213" i="1"/>
  <c r="C213" i="1"/>
  <c r="Z212" i="1"/>
  <c r="Y212" i="1"/>
  <c r="X212" i="1"/>
  <c r="W212" i="1"/>
  <c r="K212" i="1"/>
  <c r="H212" i="1"/>
  <c r="F212" i="1"/>
  <c r="D212" i="1"/>
  <c r="C212" i="1"/>
  <c r="Z211" i="1"/>
  <c r="Y211" i="1"/>
  <c r="X211" i="1"/>
  <c r="W211" i="1"/>
  <c r="K211" i="1"/>
  <c r="H211" i="1"/>
  <c r="F211" i="1"/>
  <c r="D211" i="1"/>
  <c r="C211" i="1"/>
  <c r="Z210" i="1"/>
  <c r="Y210" i="1"/>
  <c r="X210" i="1"/>
  <c r="W210" i="1"/>
  <c r="K210" i="1"/>
  <c r="H210" i="1"/>
  <c r="F210" i="1"/>
  <c r="D210" i="1"/>
  <c r="C210" i="1"/>
  <c r="Z209" i="1"/>
  <c r="Y209" i="1"/>
  <c r="X209" i="1"/>
  <c r="W209" i="1"/>
  <c r="K209" i="1"/>
  <c r="H209" i="1"/>
  <c r="F209" i="1"/>
  <c r="D209" i="1"/>
  <c r="C209" i="1"/>
  <c r="Z208" i="1"/>
  <c r="Y208" i="1"/>
  <c r="X208" i="1"/>
  <c r="W208" i="1"/>
  <c r="K208" i="1"/>
  <c r="H208" i="1"/>
  <c r="F208" i="1"/>
  <c r="D208" i="1"/>
  <c r="C208" i="1"/>
  <c r="Z207" i="1"/>
  <c r="Y207" i="1"/>
  <c r="X207" i="1"/>
  <c r="W207" i="1"/>
  <c r="K207" i="1"/>
  <c r="H207" i="1"/>
  <c r="F207" i="1"/>
  <c r="D207" i="1"/>
  <c r="C207" i="1"/>
  <c r="Z206" i="1"/>
  <c r="Y206" i="1"/>
  <c r="X206" i="1"/>
  <c r="W206" i="1"/>
  <c r="K206" i="1"/>
  <c r="H206" i="1"/>
  <c r="F206" i="1"/>
  <c r="D206" i="1"/>
  <c r="C206" i="1"/>
  <c r="Z205" i="1"/>
  <c r="Y205" i="1"/>
  <c r="X205" i="1"/>
  <c r="W205" i="1"/>
  <c r="K205" i="1"/>
  <c r="H205" i="1"/>
  <c r="F205" i="1"/>
  <c r="D205" i="1"/>
  <c r="C205" i="1"/>
  <c r="Z204" i="1"/>
  <c r="Y204" i="1"/>
  <c r="X204" i="1"/>
  <c r="W204" i="1"/>
  <c r="K204" i="1"/>
  <c r="H204" i="1"/>
  <c r="F204" i="1"/>
  <c r="D204" i="1"/>
  <c r="C204" i="1"/>
  <c r="Z203" i="1"/>
  <c r="Y203" i="1"/>
  <c r="X203" i="1"/>
  <c r="W203" i="1"/>
  <c r="K203" i="1"/>
  <c r="H203" i="1"/>
  <c r="F203" i="1"/>
  <c r="D203" i="1"/>
  <c r="C203" i="1"/>
  <c r="Z202" i="1"/>
  <c r="Y202" i="1"/>
  <c r="X202" i="1"/>
  <c r="W202" i="1"/>
  <c r="K202" i="1"/>
  <c r="H202" i="1"/>
  <c r="F202" i="1"/>
  <c r="D202" i="1"/>
  <c r="C202" i="1"/>
  <c r="Z201" i="1"/>
  <c r="Y201" i="1"/>
  <c r="X201" i="1"/>
  <c r="W201" i="1"/>
  <c r="K201" i="1"/>
  <c r="H201" i="1"/>
  <c r="F201" i="1"/>
  <c r="D201" i="1"/>
  <c r="C201" i="1"/>
  <c r="Z200" i="1"/>
  <c r="Y200" i="1"/>
  <c r="X200" i="1"/>
  <c r="W200" i="1"/>
  <c r="K200" i="1"/>
  <c r="H200" i="1"/>
  <c r="F200" i="1"/>
  <c r="D200" i="1"/>
  <c r="C200" i="1"/>
  <c r="Z199" i="1"/>
  <c r="Y199" i="1"/>
  <c r="X199" i="1"/>
  <c r="W199" i="1"/>
  <c r="K199" i="1"/>
  <c r="H199" i="1"/>
  <c r="F199" i="1"/>
  <c r="D199" i="1"/>
  <c r="C199" i="1"/>
  <c r="Z198" i="1"/>
  <c r="Y198" i="1"/>
  <c r="X198" i="1"/>
  <c r="W198" i="1"/>
  <c r="K198" i="1"/>
  <c r="H198" i="1"/>
  <c r="F198" i="1"/>
  <c r="D198" i="1"/>
  <c r="C198" i="1"/>
  <c r="Z197" i="1"/>
  <c r="Y197" i="1"/>
  <c r="X197" i="1"/>
  <c r="W197" i="1"/>
  <c r="K197" i="1"/>
  <c r="H197" i="1"/>
  <c r="F197" i="1"/>
  <c r="D197" i="1"/>
  <c r="C197" i="1"/>
  <c r="Z196" i="1"/>
  <c r="Y196" i="1"/>
  <c r="X196" i="1"/>
  <c r="W196" i="1"/>
  <c r="K196" i="1"/>
  <c r="H196" i="1"/>
  <c r="F196" i="1"/>
  <c r="D196" i="1"/>
  <c r="C196" i="1"/>
  <c r="Z195" i="1"/>
  <c r="Y195" i="1"/>
  <c r="X195" i="1"/>
  <c r="W195" i="1"/>
  <c r="K195" i="1"/>
  <c r="H195" i="1"/>
  <c r="F195" i="1"/>
  <c r="D195" i="1"/>
  <c r="C195" i="1"/>
  <c r="Z194" i="1"/>
  <c r="Y194" i="1"/>
  <c r="X194" i="1"/>
  <c r="W194" i="1"/>
  <c r="K194" i="1"/>
  <c r="H194" i="1"/>
  <c r="F194" i="1"/>
  <c r="D194" i="1"/>
  <c r="C194" i="1"/>
  <c r="Z193" i="1"/>
  <c r="Y193" i="1"/>
  <c r="X193" i="1"/>
  <c r="W193" i="1"/>
  <c r="K193" i="1"/>
  <c r="H193" i="1"/>
  <c r="F193" i="1"/>
  <c r="D193" i="1"/>
  <c r="C193" i="1"/>
  <c r="Z192" i="1"/>
  <c r="Y192" i="1"/>
  <c r="X192" i="1"/>
  <c r="W192" i="1"/>
  <c r="K192" i="1"/>
  <c r="H192" i="1"/>
  <c r="F192" i="1"/>
  <c r="D192" i="1"/>
  <c r="C192" i="1"/>
  <c r="Z191" i="1"/>
  <c r="Y191" i="1"/>
  <c r="X191" i="1"/>
  <c r="W191" i="1"/>
  <c r="K191" i="1"/>
  <c r="H191" i="1"/>
  <c r="F191" i="1"/>
  <c r="D191" i="1"/>
  <c r="C191" i="1"/>
  <c r="Z190" i="1"/>
  <c r="Y190" i="1"/>
  <c r="X190" i="1"/>
  <c r="W190" i="1"/>
  <c r="K190" i="1"/>
  <c r="H190" i="1"/>
  <c r="F190" i="1"/>
  <c r="D190" i="1"/>
  <c r="C190" i="1"/>
  <c r="Z189" i="1"/>
  <c r="Y189" i="1"/>
  <c r="X189" i="1"/>
  <c r="W189" i="1"/>
  <c r="K189" i="1"/>
  <c r="H189" i="1"/>
  <c r="F189" i="1"/>
  <c r="D189" i="1"/>
  <c r="C189" i="1"/>
  <c r="Z188" i="1"/>
  <c r="Y188" i="1"/>
  <c r="X188" i="1"/>
  <c r="W188" i="1"/>
  <c r="K188" i="1"/>
  <c r="H188" i="1"/>
  <c r="F188" i="1"/>
  <c r="D188" i="1"/>
  <c r="C188" i="1"/>
  <c r="Z187" i="1"/>
  <c r="Y187" i="1"/>
  <c r="X187" i="1"/>
  <c r="W187" i="1"/>
  <c r="K187" i="1"/>
  <c r="H187" i="1"/>
  <c r="F187" i="1"/>
  <c r="D187" i="1"/>
  <c r="C187" i="1"/>
  <c r="Z186" i="1"/>
  <c r="Y186" i="1"/>
  <c r="X186" i="1"/>
  <c r="W186" i="1"/>
  <c r="K186" i="1"/>
  <c r="H186" i="1"/>
  <c r="F186" i="1"/>
  <c r="D186" i="1"/>
  <c r="C186" i="1"/>
  <c r="Z185" i="1"/>
  <c r="Y185" i="1"/>
  <c r="X185" i="1"/>
  <c r="W185" i="1"/>
  <c r="K185" i="1"/>
  <c r="H185" i="1"/>
  <c r="F185" i="1"/>
  <c r="D185" i="1"/>
  <c r="C185" i="1"/>
  <c r="Z184" i="1"/>
  <c r="Y184" i="1"/>
  <c r="X184" i="1"/>
  <c r="W184" i="1"/>
  <c r="K184" i="1"/>
  <c r="H184" i="1"/>
  <c r="F184" i="1"/>
  <c r="D184" i="1"/>
  <c r="C184" i="1"/>
  <c r="Z183" i="1"/>
  <c r="Y183" i="1"/>
  <c r="X183" i="1"/>
  <c r="W183" i="1"/>
  <c r="K183" i="1"/>
  <c r="H183" i="1"/>
  <c r="F183" i="1"/>
  <c r="D183" i="1"/>
  <c r="C183" i="1"/>
  <c r="Z182" i="1"/>
  <c r="Y182" i="1"/>
  <c r="X182" i="1"/>
  <c r="W182" i="1"/>
  <c r="K182" i="1"/>
  <c r="H182" i="1"/>
  <c r="F182" i="1"/>
  <c r="D182" i="1"/>
  <c r="C182" i="1"/>
  <c r="Z181" i="1"/>
  <c r="Y181" i="1"/>
  <c r="X181" i="1"/>
  <c r="W181" i="1"/>
  <c r="K181" i="1"/>
  <c r="H181" i="1"/>
  <c r="F181" i="1"/>
  <c r="D181" i="1"/>
  <c r="C181" i="1"/>
  <c r="Z180" i="1"/>
  <c r="Y180" i="1"/>
  <c r="X180" i="1"/>
  <c r="W180" i="1"/>
  <c r="K180" i="1"/>
  <c r="H180" i="1"/>
  <c r="F180" i="1"/>
  <c r="D180" i="1"/>
  <c r="C180" i="1"/>
  <c r="Z179" i="1"/>
  <c r="Y179" i="1"/>
  <c r="X179" i="1"/>
  <c r="W179" i="1"/>
  <c r="K179" i="1"/>
  <c r="H179" i="1"/>
  <c r="F179" i="1"/>
  <c r="D179" i="1"/>
  <c r="C179" i="1"/>
  <c r="Z178" i="1"/>
  <c r="Y178" i="1"/>
  <c r="X178" i="1"/>
  <c r="W178" i="1"/>
  <c r="K178" i="1"/>
  <c r="H178" i="1"/>
  <c r="F178" i="1"/>
  <c r="D178" i="1"/>
  <c r="C178" i="1"/>
  <c r="Z177" i="1"/>
  <c r="Y177" i="1"/>
  <c r="X177" i="1"/>
  <c r="W177" i="1"/>
  <c r="K177" i="1"/>
  <c r="H177" i="1"/>
  <c r="F177" i="1"/>
  <c r="D177" i="1"/>
  <c r="C177" i="1"/>
  <c r="Z176" i="1"/>
  <c r="Y176" i="1"/>
  <c r="X176" i="1"/>
  <c r="W176" i="1"/>
  <c r="K176" i="1"/>
  <c r="H176" i="1"/>
  <c r="F176" i="1"/>
  <c r="D176" i="1"/>
  <c r="C176" i="1"/>
  <c r="Z175" i="1"/>
  <c r="Y175" i="1"/>
  <c r="X175" i="1"/>
  <c r="W175" i="1"/>
  <c r="K175" i="1"/>
  <c r="H175" i="1"/>
  <c r="F175" i="1"/>
  <c r="D175" i="1"/>
  <c r="C175" i="1"/>
  <c r="Z174" i="1"/>
  <c r="Y174" i="1"/>
  <c r="X174" i="1"/>
  <c r="W174" i="1"/>
  <c r="K174" i="1"/>
  <c r="H174" i="1"/>
  <c r="F174" i="1"/>
  <c r="D174" i="1"/>
  <c r="C174" i="1"/>
  <c r="Z173" i="1"/>
  <c r="Y173" i="1"/>
  <c r="X173" i="1"/>
  <c r="W173" i="1"/>
  <c r="K173" i="1"/>
  <c r="H173" i="1"/>
  <c r="F173" i="1"/>
  <c r="D173" i="1"/>
  <c r="C173" i="1"/>
  <c r="Z172" i="1"/>
  <c r="Y172" i="1"/>
  <c r="X172" i="1"/>
  <c r="W172" i="1"/>
  <c r="K172" i="1"/>
  <c r="H172" i="1"/>
  <c r="F172" i="1"/>
  <c r="D172" i="1"/>
  <c r="C172" i="1"/>
  <c r="Z171" i="1"/>
  <c r="Y171" i="1"/>
  <c r="X171" i="1"/>
  <c r="W171" i="1"/>
  <c r="K171" i="1"/>
  <c r="H171" i="1"/>
  <c r="F171" i="1"/>
  <c r="D171" i="1"/>
  <c r="C171" i="1"/>
  <c r="Z170" i="1"/>
  <c r="Y170" i="1"/>
  <c r="X170" i="1"/>
  <c r="W170" i="1"/>
  <c r="K170" i="1"/>
  <c r="H170" i="1"/>
  <c r="F170" i="1"/>
  <c r="D170" i="1"/>
  <c r="C170" i="1"/>
  <c r="Z169" i="1"/>
  <c r="Y169" i="1"/>
  <c r="X169" i="1"/>
  <c r="W169" i="1"/>
  <c r="K169" i="1"/>
  <c r="H169" i="1"/>
  <c r="F169" i="1"/>
  <c r="D169" i="1"/>
  <c r="C169" i="1"/>
  <c r="Z168" i="1"/>
  <c r="Y168" i="1"/>
  <c r="X168" i="1"/>
  <c r="W168" i="1"/>
  <c r="K168" i="1"/>
  <c r="H168" i="1"/>
  <c r="F168" i="1"/>
  <c r="D168" i="1"/>
  <c r="C168" i="1"/>
  <c r="Z167" i="1"/>
  <c r="Y167" i="1"/>
  <c r="X167" i="1"/>
  <c r="W167" i="1"/>
  <c r="K167" i="1"/>
  <c r="H167" i="1"/>
  <c r="F167" i="1"/>
  <c r="D167" i="1"/>
  <c r="C167" i="1"/>
  <c r="Z166" i="1"/>
  <c r="Y166" i="1"/>
  <c r="X166" i="1"/>
  <c r="W166" i="1"/>
  <c r="K166" i="1"/>
  <c r="H166" i="1"/>
  <c r="F166" i="1"/>
  <c r="D166" i="1"/>
  <c r="C166" i="1"/>
  <c r="Z165" i="1"/>
  <c r="Y165" i="1"/>
  <c r="X165" i="1"/>
  <c r="W165" i="1"/>
  <c r="K165" i="1"/>
  <c r="H165" i="1"/>
  <c r="F165" i="1"/>
  <c r="D165" i="1"/>
  <c r="C165" i="1"/>
  <c r="Z164" i="1"/>
  <c r="Y164" i="1"/>
  <c r="X164" i="1"/>
  <c r="W164" i="1"/>
  <c r="K164" i="1"/>
  <c r="H164" i="1"/>
  <c r="F164" i="1"/>
  <c r="D164" i="1"/>
  <c r="C164" i="1"/>
  <c r="Z163" i="1"/>
  <c r="Y163" i="1"/>
  <c r="X163" i="1"/>
  <c r="W163" i="1"/>
  <c r="K163" i="1"/>
  <c r="H163" i="1"/>
  <c r="F163" i="1"/>
  <c r="D163" i="1"/>
  <c r="C163" i="1"/>
  <c r="Z162" i="1"/>
  <c r="Y162" i="1"/>
  <c r="X162" i="1"/>
  <c r="W162" i="1"/>
  <c r="K162" i="1"/>
  <c r="H162" i="1"/>
  <c r="F162" i="1"/>
  <c r="D162" i="1"/>
  <c r="C162" i="1"/>
  <c r="Z161" i="1"/>
  <c r="Y161" i="1"/>
  <c r="X161" i="1"/>
  <c r="W161" i="1"/>
  <c r="K161" i="1"/>
  <c r="H161" i="1"/>
  <c r="F161" i="1"/>
  <c r="D161" i="1"/>
  <c r="C161" i="1"/>
  <c r="Z160" i="1"/>
  <c r="Y160" i="1"/>
  <c r="X160" i="1"/>
  <c r="W160" i="1"/>
  <c r="K160" i="1"/>
  <c r="H160" i="1"/>
  <c r="F160" i="1"/>
  <c r="D160" i="1"/>
  <c r="C160" i="1"/>
  <c r="Z159" i="1"/>
  <c r="Y159" i="1"/>
  <c r="X159" i="1"/>
  <c r="W159" i="1"/>
  <c r="K159" i="1"/>
  <c r="H159" i="1"/>
  <c r="F159" i="1"/>
  <c r="D159" i="1"/>
  <c r="C159" i="1"/>
  <c r="Z158" i="1"/>
  <c r="Y158" i="1"/>
  <c r="X158" i="1"/>
  <c r="W158" i="1"/>
  <c r="K158" i="1"/>
  <c r="H158" i="1"/>
  <c r="F158" i="1"/>
  <c r="D158" i="1"/>
  <c r="C158" i="1"/>
  <c r="Z157" i="1"/>
  <c r="Y157" i="1"/>
  <c r="X157" i="1"/>
  <c r="W157" i="1"/>
  <c r="K157" i="1"/>
  <c r="H157" i="1"/>
  <c r="F157" i="1"/>
  <c r="D157" i="1"/>
  <c r="C157" i="1"/>
  <c r="Z156" i="1"/>
  <c r="Y156" i="1"/>
  <c r="X156" i="1"/>
  <c r="W156" i="1"/>
  <c r="K156" i="1"/>
  <c r="H156" i="1"/>
  <c r="F156" i="1"/>
  <c r="D156" i="1"/>
  <c r="C156" i="1"/>
  <c r="Z155" i="1"/>
  <c r="Y155" i="1"/>
  <c r="X155" i="1"/>
  <c r="W155" i="1"/>
  <c r="K155" i="1"/>
  <c r="H155" i="1"/>
  <c r="F155" i="1"/>
  <c r="D155" i="1"/>
  <c r="C155" i="1"/>
  <c r="Z154" i="1"/>
  <c r="Y154" i="1"/>
  <c r="X154" i="1"/>
  <c r="W154" i="1"/>
  <c r="K154" i="1"/>
  <c r="H154" i="1"/>
  <c r="F154" i="1"/>
  <c r="D154" i="1"/>
  <c r="C154" i="1"/>
  <c r="Z153" i="1"/>
  <c r="Y153" i="1"/>
  <c r="X153" i="1"/>
  <c r="W153" i="1"/>
  <c r="K153" i="1"/>
  <c r="H153" i="1"/>
  <c r="F153" i="1"/>
  <c r="D153" i="1"/>
  <c r="C153" i="1"/>
  <c r="Z152" i="1"/>
  <c r="Y152" i="1"/>
  <c r="X152" i="1"/>
  <c r="W152" i="1"/>
  <c r="K152" i="1"/>
  <c r="H152" i="1"/>
  <c r="F152" i="1"/>
  <c r="D152" i="1"/>
  <c r="C152" i="1"/>
  <c r="Z151" i="1"/>
  <c r="Y151" i="1"/>
  <c r="X151" i="1"/>
  <c r="W151" i="1"/>
  <c r="K151" i="1"/>
  <c r="H151" i="1"/>
  <c r="F151" i="1"/>
  <c r="D151" i="1"/>
  <c r="C151" i="1"/>
  <c r="Z150" i="1"/>
  <c r="Y150" i="1"/>
  <c r="X150" i="1"/>
  <c r="W150" i="1"/>
  <c r="K150" i="1"/>
  <c r="H150" i="1"/>
  <c r="F150" i="1"/>
  <c r="D150" i="1"/>
  <c r="C150" i="1"/>
  <c r="Z149" i="1"/>
  <c r="Y149" i="1"/>
  <c r="X149" i="1"/>
  <c r="W149" i="1"/>
  <c r="K149" i="1"/>
  <c r="H149" i="1"/>
  <c r="F149" i="1"/>
  <c r="D149" i="1"/>
  <c r="C149" i="1"/>
  <c r="Z148" i="1"/>
  <c r="Y148" i="1"/>
  <c r="X148" i="1"/>
  <c r="W148" i="1"/>
  <c r="K148" i="1"/>
  <c r="H148" i="1"/>
  <c r="F148" i="1"/>
  <c r="D148" i="1"/>
  <c r="C148" i="1"/>
  <c r="Z147" i="1"/>
  <c r="Y147" i="1"/>
  <c r="X147" i="1"/>
  <c r="W147" i="1"/>
  <c r="K147" i="1"/>
  <c r="H147" i="1"/>
  <c r="F147" i="1"/>
  <c r="D147" i="1"/>
  <c r="C147" i="1"/>
  <c r="Z146" i="1"/>
  <c r="Y146" i="1"/>
  <c r="X146" i="1"/>
  <c r="W146" i="1"/>
  <c r="K146" i="1"/>
  <c r="H146" i="1"/>
  <c r="F146" i="1"/>
  <c r="D146" i="1"/>
  <c r="C146" i="1"/>
  <c r="Z145" i="1"/>
  <c r="Y145" i="1"/>
  <c r="X145" i="1"/>
  <c r="W145" i="1"/>
  <c r="K145" i="1"/>
  <c r="H145" i="1"/>
  <c r="F145" i="1"/>
  <c r="D145" i="1"/>
  <c r="C145" i="1"/>
  <c r="Z144" i="1"/>
  <c r="Y144" i="1"/>
  <c r="X144" i="1"/>
  <c r="W144" i="1"/>
  <c r="K144" i="1"/>
  <c r="H144" i="1"/>
  <c r="F144" i="1"/>
  <c r="D144" i="1"/>
  <c r="C144" i="1"/>
  <c r="Z143" i="1"/>
  <c r="Y143" i="1"/>
  <c r="X143" i="1"/>
  <c r="W143" i="1"/>
  <c r="K143" i="1"/>
  <c r="H143" i="1"/>
  <c r="F143" i="1"/>
  <c r="D143" i="1"/>
  <c r="C143" i="1"/>
  <c r="Z142" i="1"/>
  <c r="Y142" i="1"/>
  <c r="X142" i="1"/>
  <c r="W142" i="1"/>
  <c r="K142" i="1"/>
  <c r="H142" i="1"/>
  <c r="F142" i="1"/>
  <c r="D142" i="1"/>
  <c r="C142" i="1"/>
  <c r="Z141" i="1"/>
  <c r="Y141" i="1"/>
  <c r="X141" i="1"/>
  <c r="W141" i="1"/>
  <c r="K141" i="1"/>
  <c r="H141" i="1"/>
  <c r="F141" i="1"/>
  <c r="D141" i="1"/>
  <c r="C141" i="1"/>
  <c r="Z140" i="1"/>
  <c r="Y140" i="1"/>
  <c r="X140" i="1"/>
  <c r="W140" i="1"/>
  <c r="K140" i="1"/>
  <c r="H140" i="1"/>
  <c r="F140" i="1"/>
  <c r="D140" i="1"/>
  <c r="C140" i="1"/>
  <c r="Z139" i="1"/>
  <c r="Y139" i="1"/>
  <c r="X139" i="1"/>
  <c r="W139" i="1"/>
  <c r="K139" i="1"/>
  <c r="H139" i="1"/>
  <c r="F139" i="1"/>
  <c r="D139" i="1"/>
  <c r="C139" i="1"/>
  <c r="Z138" i="1"/>
  <c r="Y138" i="1"/>
  <c r="X138" i="1"/>
  <c r="W138" i="1"/>
  <c r="K138" i="1"/>
  <c r="H138" i="1"/>
  <c r="F138" i="1"/>
  <c r="D138" i="1"/>
  <c r="C138" i="1"/>
  <c r="Z137" i="1"/>
  <c r="Y137" i="1"/>
  <c r="X137" i="1"/>
  <c r="W137" i="1"/>
  <c r="K137" i="1"/>
  <c r="H137" i="1"/>
  <c r="F137" i="1"/>
  <c r="D137" i="1"/>
  <c r="C137" i="1"/>
  <c r="Z136" i="1"/>
  <c r="Y136" i="1"/>
  <c r="X136" i="1"/>
  <c r="W136" i="1"/>
  <c r="K136" i="1"/>
  <c r="H136" i="1"/>
  <c r="F136" i="1"/>
  <c r="D136" i="1"/>
  <c r="C136" i="1"/>
  <c r="Z135" i="1"/>
  <c r="Y135" i="1"/>
  <c r="X135" i="1"/>
  <c r="W135" i="1"/>
  <c r="K135" i="1"/>
  <c r="H135" i="1"/>
  <c r="F135" i="1"/>
  <c r="D135" i="1"/>
  <c r="C135" i="1"/>
  <c r="Z134" i="1"/>
  <c r="Y134" i="1"/>
  <c r="X134" i="1"/>
  <c r="W134" i="1"/>
  <c r="K134" i="1"/>
  <c r="H134" i="1"/>
  <c r="F134" i="1"/>
  <c r="D134" i="1"/>
  <c r="C134" i="1"/>
  <c r="Z133" i="1"/>
  <c r="Y133" i="1"/>
  <c r="X133" i="1"/>
  <c r="W133" i="1"/>
  <c r="K133" i="1"/>
  <c r="H133" i="1"/>
  <c r="F133" i="1"/>
  <c r="D133" i="1"/>
  <c r="C133" i="1"/>
  <c r="Z132" i="1"/>
  <c r="Y132" i="1"/>
  <c r="X132" i="1"/>
  <c r="W132" i="1"/>
  <c r="K132" i="1"/>
  <c r="H132" i="1"/>
  <c r="F132" i="1"/>
  <c r="D132" i="1"/>
  <c r="C132" i="1"/>
  <c r="Z131" i="1"/>
  <c r="Y131" i="1"/>
  <c r="X131" i="1"/>
  <c r="W131" i="1"/>
  <c r="K131" i="1"/>
  <c r="H131" i="1"/>
  <c r="F131" i="1"/>
  <c r="D131" i="1"/>
  <c r="C131" i="1"/>
  <c r="Z130" i="1"/>
  <c r="Y130" i="1"/>
  <c r="X130" i="1"/>
  <c r="W130" i="1"/>
  <c r="K130" i="1"/>
  <c r="H130" i="1"/>
  <c r="F130" i="1"/>
  <c r="D130" i="1"/>
  <c r="C130" i="1"/>
  <c r="Z129" i="1"/>
  <c r="Y129" i="1"/>
  <c r="X129" i="1"/>
  <c r="W129" i="1"/>
  <c r="K129" i="1"/>
  <c r="H129" i="1"/>
  <c r="F129" i="1"/>
  <c r="D129" i="1"/>
  <c r="C129" i="1"/>
  <c r="Z128" i="1"/>
  <c r="Y128" i="1"/>
  <c r="X128" i="1"/>
  <c r="W128" i="1"/>
  <c r="K128" i="1"/>
  <c r="H128" i="1"/>
  <c r="F128" i="1"/>
  <c r="D128" i="1"/>
  <c r="C128" i="1"/>
  <c r="Z127" i="1"/>
  <c r="Y127" i="1"/>
  <c r="X127" i="1"/>
  <c r="W127" i="1"/>
  <c r="K127" i="1"/>
  <c r="H127" i="1"/>
  <c r="F127" i="1"/>
  <c r="D127" i="1"/>
  <c r="C127" i="1"/>
  <c r="Z126" i="1"/>
  <c r="Y126" i="1"/>
  <c r="X126" i="1"/>
  <c r="W126" i="1"/>
  <c r="K126" i="1"/>
  <c r="H126" i="1"/>
  <c r="F126" i="1"/>
  <c r="D126" i="1"/>
  <c r="C126" i="1"/>
  <c r="Z125" i="1"/>
  <c r="Y125" i="1"/>
  <c r="X125" i="1"/>
  <c r="W125" i="1"/>
  <c r="K125" i="1"/>
  <c r="H125" i="1"/>
  <c r="F125" i="1"/>
  <c r="D125" i="1"/>
  <c r="C125" i="1"/>
  <c r="Z124" i="1"/>
  <c r="Y124" i="1"/>
  <c r="X124" i="1"/>
  <c r="W124" i="1"/>
  <c r="K124" i="1"/>
  <c r="H124" i="1"/>
  <c r="F124" i="1"/>
  <c r="D124" i="1"/>
  <c r="C124" i="1"/>
  <c r="Z123" i="1"/>
  <c r="Y123" i="1"/>
  <c r="X123" i="1"/>
  <c r="W123" i="1"/>
  <c r="K123" i="1"/>
  <c r="H123" i="1"/>
  <c r="F123" i="1"/>
  <c r="D123" i="1"/>
  <c r="C123" i="1"/>
  <c r="Z122" i="1"/>
  <c r="Y122" i="1"/>
  <c r="X122" i="1"/>
  <c r="W122" i="1"/>
  <c r="K122" i="1"/>
  <c r="H122" i="1"/>
  <c r="F122" i="1"/>
  <c r="D122" i="1"/>
  <c r="C122" i="1"/>
  <c r="Z121" i="1"/>
  <c r="Y121" i="1"/>
  <c r="X121" i="1"/>
  <c r="W121" i="1"/>
  <c r="K121" i="1"/>
  <c r="H121" i="1"/>
  <c r="F121" i="1"/>
  <c r="D121" i="1"/>
  <c r="C121" i="1"/>
  <c r="Z120" i="1"/>
  <c r="Y120" i="1"/>
  <c r="X120" i="1"/>
  <c r="W120" i="1"/>
  <c r="K120" i="1"/>
  <c r="H120" i="1"/>
  <c r="F120" i="1"/>
  <c r="D120" i="1"/>
  <c r="C120" i="1"/>
  <c r="Z119" i="1"/>
  <c r="Y119" i="1"/>
  <c r="X119" i="1"/>
  <c r="W119" i="1"/>
  <c r="K119" i="1"/>
  <c r="H119" i="1"/>
  <c r="F119" i="1"/>
  <c r="D119" i="1"/>
  <c r="C119" i="1"/>
  <c r="Z118" i="1"/>
  <c r="Y118" i="1"/>
  <c r="X118" i="1"/>
  <c r="W118" i="1"/>
  <c r="K118" i="1"/>
  <c r="H118" i="1"/>
  <c r="F118" i="1"/>
  <c r="D118" i="1"/>
  <c r="C118" i="1"/>
  <c r="Z117" i="1"/>
  <c r="Y117" i="1"/>
  <c r="X117" i="1"/>
  <c r="W117" i="1"/>
  <c r="K117" i="1"/>
  <c r="H117" i="1"/>
  <c r="F117" i="1"/>
  <c r="D117" i="1"/>
  <c r="C117" i="1"/>
  <c r="Z116" i="1"/>
  <c r="Y116" i="1"/>
  <c r="X116" i="1"/>
  <c r="W116" i="1"/>
  <c r="K116" i="1"/>
  <c r="H116" i="1"/>
  <c r="F116" i="1"/>
  <c r="D116" i="1"/>
  <c r="C116" i="1"/>
  <c r="Z115" i="1"/>
  <c r="Y115" i="1"/>
  <c r="X115" i="1"/>
  <c r="W115" i="1"/>
  <c r="K115" i="1"/>
  <c r="H115" i="1"/>
  <c r="F115" i="1"/>
  <c r="D115" i="1"/>
  <c r="C115" i="1"/>
  <c r="Z114" i="1"/>
  <c r="Y114" i="1"/>
  <c r="X114" i="1"/>
  <c r="W114" i="1"/>
  <c r="K114" i="1"/>
  <c r="H114" i="1"/>
  <c r="F114" i="1"/>
  <c r="D114" i="1"/>
  <c r="C114" i="1"/>
  <c r="Z113" i="1"/>
  <c r="Y113" i="1"/>
  <c r="X113" i="1"/>
  <c r="W113" i="1"/>
  <c r="K113" i="1"/>
  <c r="H113" i="1"/>
  <c r="F113" i="1"/>
  <c r="D113" i="1"/>
  <c r="C113" i="1"/>
  <c r="Z112" i="1"/>
  <c r="Y112" i="1"/>
  <c r="X112" i="1"/>
  <c r="W112" i="1"/>
  <c r="K112" i="1"/>
  <c r="H112" i="1"/>
  <c r="F112" i="1"/>
  <c r="D112" i="1"/>
  <c r="C112" i="1"/>
  <c r="Z111" i="1"/>
  <c r="Y111" i="1"/>
  <c r="X111" i="1"/>
  <c r="W111" i="1"/>
  <c r="K111" i="1"/>
  <c r="H111" i="1"/>
  <c r="F111" i="1"/>
  <c r="D111" i="1"/>
  <c r="C111" i="1"/>
  <c r="Z110" i="1"/>
  <c r="Y110" i="1"/>
  <c r="X110" i="1"/>
  <c r="W110" i="1"/>
  <c r="K110" i="1"/>
  <c r="H110" i="1"/>
  <c r="F110" i="1"/>
  <c r="D110" i="1"/>
  <c r="C110" i="1"/>
  <c r="Z109" i="1"/>
  <c r="Y109" i="1"/>
  <c r="X109" i="1"/>
  <c r="W109" i="1"/>
  <c r="K109" i="1"/>
  <c r="H109" i="1"/>
  <c r="F109" i="1"/>
  <c r="D109" i="1"/>
  <c r="C109" i="1"/>
  <c r="Z108" i="1"/>
  <c r="Y108" i="1"/>
  <c r="X108" i="1"/>
  <c r="W108" i="1"/>
  <c r="K108" i="1"/>
  <c r="H108" i="1"/>
  <c r="F108" i="1"/>
  <c r="D108" i="1"/>
  <c r="C108" i="1"/>
  <c r="Z107" i="1"/>
  <c r="Y107" i="1"/>
  <c r="X107" i="1"/>
  <c r="W107" i="1"/>
  <c r="K107" i="1"/>
  <c r="H107" i="1"/>
  <c r="F107" i="1"/>
  <c r="D107" i="1"/>
  <c r="C107" i="1"/>
  <c r="Z106" i="1"/>
  <c r="Y106" i="1"/>
  <c r="X106" i="1"/>
  <c r="W106" i="1"/>
  <c r="K106" i="1"/>
  <c r="H106" i="1"/>
  <c r="F106" i="1"/>
  <c r="D106" i="1"/>
  <c r="C106" i="1"/>
  <c r="Z105" i="1"/>
  <c r="Y105" i="1"/>
  <c r="X105" i="1"/>
  <c r="W105" i="1"/>
  <c r="K105" i="1"/>
  <c r="H105" i="1"/>
  <c r="F105" i="1"/>
  <c r="D105" i="1"/>
  <c r="C105" i="1"/>
  <c r="Z104" i="1"/>
  <c r="Y104" i="1"/>
  <c r="X104" i="1"/>
  <c r="W104" i="1"/>
  <c r="K104" i="1"/>
  <c r="H104" i="1"/>
  <c r="F104" i="1"/>
  <c r="D104" i="1"/>
  <c r="C104" i="1"/>
  <c r="Z103" i="1"/>
  <c r="Y103" i="1"/>
  <c r="X103" i="1"/>
  <c r="W103" i="1"/>
  <c r="K103" i="1"/>
  <c r="H103" i="1"/>
  <c r="F103" i="1"/>
  <c r="D103" i="1"/>
  <c r="C103" i="1"/>
  <c r="Z102" i="1"/>
  <c r="Y102" i="1"/>
  <c r="X102" i="1"/>
  <c r="W102" i="1"/>
  <c r="K102" i="1"/>
  <c r="H102" i="1"/>
  <c r="F102" i="1"/>
  <c r="D102" i="1"/>
  <c r="C102" i="1"/>
  <c r="Z101" i="1"/>
  <c r="Y101" i="1"/>
  <c r="X101" i="1"/>
  <c r="W101" i="1"/>
  <c r="K101" i="1"/>
  <c r="H101" i="1"/>
  <c r="F101" i="1"/>
  <c r="D101" i="1"/>
  <c r="C101" i="1"/>
  <c r="Z100" i="1"/>
  <c r="Y100" i="1"/>
  <c r="X100" i="1"/>
  <c r="W100" i="1"/>
  <c r="K100" i="1"/>
  <c r="H100" i="1"/>
  <c r="F100" i="1"/>
  <c r="D100" i="1"/>
  <c r="C100" i="1"/>
  <c r="Z99" i="1"/>
  <c r="Y99" i="1"/>
  <c r="X99" i="1"/>
  <c r="W99" i="1"/>
  <c r="K99" i="1"/>
  <c r="H99" i="1"/>
  <c r="F99" i="1"/>
  <c r="D99" i="1"/>
  <c r="C99" i="1"/>
  <c r="Z98" i="1"/>
  <c r="Y98" i="1"/>
  <c r="X98" i="1"/>
  <c r="W98" i="1"/>
  <c r="K98" i="1"/>
  <c r="H98" i="1"/>
  <c r="F98" i="1"/>
  <c r="D98" i="1"/>
  <c r="C98" i="1"/>
  <c r="Z97" i="1"/>
  <c r="Y97" i="1"/>
  <c r="X97" i="1"/>
  <c r="W97" i="1"/>
  <c r="K97" i="1"/>
  <c r="H97" i="1"/>
  <c r="F97" i="1"/>
  <c r="D97" i="1"/>
  <c r="C97" i="1"/>
  <c r="Z96" i="1"/>
  <c r="Y96" i="1"/>
  <c r="X96" i="1"/>
  <c r="W96" i="1"/>
  <c r="K96" i="1"/>
  <c r="H96" i="1"/>
  <c r="F96" i="1"/>
  <c r="D96" i="1"/>
  <c r="C96" i="1"/>
  <c r="Z95" i="1"/>
  <c r="Y95" i="1"/>
  <c r="X95" i="1"/>
  <c r="W95" i="1"/>
  <c r="K95" i="1"/>
  <c r="H95" i="1"/>
  <c r="F95" i="1"/>
  <c r="D95" i="1"/>
  <c r="C95" i="1"/>
  <c r="Z94" i="1"/>
  <c r="Y94" i="1"/>
  <c r="X94" i="1"/>
  <c r="W94" i="1"/>
  <c r="V94" i="1"/>
  <c r="K94" i="1"/>
  <c r="H94" i="1"/>
  <c r="F94" i="1"/>
  <c r="D94" i="1"/>
  <c r="C94" i="1"/>
  <c r="Z93" i="1"/>
  <c r="Y93" i="1"/>
  <c r="X93" i="1"/>
  <c r="W93" i="1"/>
  <c r="K93" i="1"/>
  <c r="H93" i="1"/>
  <c r="F93" i="1"/>
  <c r="D93" i="1"/>
  <c r="C93" i="1"/>
  <c r="Z92" i="1"/>
  <c r="Y92" i="1"/>
  <c r="X92" i="1"/>
  <c r="W92" i="1"/>
  <c r="K92" i="1"/>
  <c r="H92" i="1"/>
  <c r="F92" i="1"/>
  <c r="D92" i="1"/>
  <c r="C92" i="1"/>
  <c r="Z91" i="1"/>
  <c r="Y91" i="1"/>
  <c r="X91" i="1"/>
  <c r="W91" i="1"/>
  <c r="K91" i="1"/>
  <c r="H91" i="1"/>
  <c r="F91" i="1"/>
  <c r="D91" i="1"/>
  <c r="C91" i="1"/>
  <c r="Z90" i="1"/>
  <c r="Y90" i="1"/>
  <c r="X90" i="1"/>
  <c r="W90" i="1"/>
  <c r="K90" i="1"/>
  <c r="H90" i="1"/>
  <c r="F90" i="1"/>
  <c r="D90" i="1"/>
  <c r="C90" i="1"/>
  <c r="Z89" i="1"/>
  <c r="Y89" i="1"/>
  <c r="X89" i="1"/>
  <c r="W89" i="1"/>
  <c r="K89" i="1"/>
  <c r="H89" i="1"/>
  <c r="F89" i="1"/>
  <c r="D89" i="1"/>
  <c r="C89" i="1"/>
  <c r="Z88" i="1"/>
  <c r="Y88" i="1"/>
  <c r="X88" i="1"/>
  <c r="W88" i="1"/>
  <c r="K88" i="1"/>
  <c r="H88" i="1"/>
  <c r="F88" i="1"/>
  <c r="D88" i="1"/>
  <c r="C88" i="1"/>
  <c r="Z87" i="1"/>
  <c r="Y87" i="1"/>
  <c r="X87" i="1"/>
  <c r="W87" i="1"/>
  <c r="K87" i="1"/>
  <c r="H87" i="1"/>
  <c r="F87" i="1"/>
  <c r="D87" i="1"/>
  <c r="C87" i="1"/>
  <c r="Z86" i="1"/>
  <c r="Y86" i="1"/>
  <c r="X86" i="1"/>
  <c r="W86" i="1"/>
  <c r="K86" i="1"/>
  <c r="H86" i="1"/>
  <c r="F86" i="1"/>
  <c r="D86" i="1"/>
  <c r="C86" i="1"/>
  <c r="Z85" i="1"/>
  <c r="Y85" i="1"/>
  <c r="X85" i="1"/>
  <c r="W85" i="1"/>
  <c r="K85" i="1"/>
  <c r="H85" i="1"/>
  <c r="F85" i="1"/>
  <c r="D85" i="1"/>
  <c r="C85" i="1"/>
  <c r="Z84" i="1"/>
  <c r="Y84" i="1"/>
  <c r="X84" i="1"/>
  <c r="W84" i="1"/>
  <c r="K84" i="1"/>
  <c r="H84" i="1"/>
  <c r="F84" i="1"/>
  <c r="D84" i="1"/>
  <c r="C84" i="1"/>
  <c r="Z83" i="1"/>
  <c r="Y83" i="1"/>
  <c r="X83" i="1"/>
  <c r="W83" i="1"/>
  <c r="K83" i="1"/>
  <c r="H83" i="1"/>
  <c r="F83" i="1"/>
  <c r="D83" i="1"/>
  <c r="C83" i="1"/>
  <c r="Z82" i="1"/>
  <c r="Y82" i="1"/>
  <c r="X82" i="1"/>
  <c r="W82" i="1"/>
  <c r="K82" i="1"/>
  <c r="H82" i="1"/>
  <c r="F82" i="1"/>
  <c r="D82" i="1"/>
  <c r="C82" i="1"/>
  <c r="Z81" i="1"/>
  <c r="Y81" i="1"/>
  <c r="X81" i="1"/>
  <c r="W81" i="1"/>
  <c r="K81" i="1"/>
  <c r="H81" i="1"/>
  <c r="F81" i="1"/>
  <c r="D81" i="1"/>
  <c r="C81" i="1"/>
  <c r="Z80" i="1"/>
  <c r="Y80" i="1"/>
  <c r="X80" i="1"/>
  <c r="W80" i="1"/>
  <c r="K80" i="1"/>
  <c r="H80" i="1"/>
  <c r="F80" i="1"/>
  <c r="D80" i="1"/>
  <c r="C80" i="1"/>
  <c r="Z79" i="1"/>
  <c r="Y79" i="1"/>
  <c r="X79" i="1"/>
  <c r="W79" i="1"/>
  <c r="K79" i="1"/>
  <c r="H79" i="1"/>
  <c r="F79" i="1"/>
  <c r="D79" i="1"/>
  <c r="C79" i="1"/>
  <c r="Z78" i="1"/>
  <c r="Y78" i="1"/>
  <c r="X78" i="1"/>
  <c r="W78" i="1"/>
  <c r="K78" i="1"/>
  <c r="H78" i="1"/>
  <c r="F78" i="1"/>
  <c r="D78" i="1"/>
  <c r="C78" i="1"/>
  <c r="Z77" i="1"/>
  <c r="Y77" i="1"/>
  <c r="X77" i="1"/>
  <c r="W77" i="1"/>
  <c r="K77" i="1"/>
  <c r="H77" i="1"/>
  <c r="F77" i="1"/>
  <c r="D77" i="1"/>
  <c r="C77" i="1"/>
  <c r="Z76" i="1"/>
  <c r="Y76" i="1"/>
  <c r="X76" i="1"/>
  <c r="W76" i="1"/>
  <c r="K76" i="1"/>
  <c r="H76" i="1"/>
  <c r="F76" i="1"/>
  <c r="D76" i="1"/>
  <c r="C76" i="1"/>
  <c r="Z75" i="1"/>
  <c r="Y75" i="1"/>
  <c r="X75" i="1"/>
  <c r="W75" i="1"/>
  <c r="K75" i="1"/>
  <c r="H75" i="1"/>
  <c r="F75" i="1"/>
  <c r="D75" i="1"/>
  <c r="C75" i="1"/>
  <c r="Z74" i="1"/>
  <c r="Y74" i="1"/>
  <c r="X74" i="1"/>
  <c r="W74" i="1"/>
  <c r="K74" i="1"/>
  <c r="H74" i="1"/>
  <c r="F74" i="1"/>
  <c r="D74" i="1"/>
  <c r="C74" i="1"/>
  <c r="Z73" i="1"/>
  <c r="Y73" i="1"/>
  <c r="X73" i="1"/>
  <c r="W73" i="1"/>
  <c r="K73" i="1"/>
  <c r="H73" i="1"/>
  <c r="F73" i="1"/>
  <c r="D73" i="1"/>
  <c r="C73" i="1"/>
  <c r="Z72" i="1"/>
  <c r="Y72" i="1"/>
  <c r="X72" i="1"/>
  <c r="W72" i="1"/>
  <c r="K72" i="1"/>
  <c r="H72" i="1"/>
  <c r="F72" i="1"/>
  <c r="D72" i="1"/>
  <c r="C72" i="1"/>
  <c r="Z71" i="1"/>
  <c r="Y71" i="1"/>
  <c r="X71" i="1"/>
  <c r="W71" i="1"/>
  <c r="K71" i="1"/>
  <c r="H71" i="1"/>
  <c r="F71" i="1"/>
  <c r="D71" i="1"/>
  <c r="C71" i="1"/>
  <c r="Z70" i="1"/>
  <c r="Y70" i="1"/>
  <c r="X70" i="1"/>
  <c r="W70" i="1"/>
  <c r="K70" i="1"/>
  <c r="H70" i="1"/>
  <c r="F70" i="1"/>
  <c r="D70" i="1"/>
  <c r="C70" i="1"/>
  <c r="Z69" i="1"/>
  <c r="Y69" i="1"/>
  <c r="X69" i="1"/>
  <c r="W69" i="1"/>
  <c r="K69" i="1"/>
  <c r="H69" i="1"/>
  <c r="F69" i="1"/>
  <c r="D69" i="1"/>
  <c r="C69" i="1"/>
  <c r="Z68" i="1"/>
  <c r="Y68" i="1"/>
  <c r="X68" i="1"/>
  <c r="W68" i="1"/>
  <c r="K68" i="1"/>
  <c r="H68" i="1"/>
  <c r="F68" i="1"/>
  <c r="D68" i="1"/>
  <c r="C68" i="1"/>
  <c r="Z67" i="1"/>
  <c r="Y67" i="1"/>
  <c r="X67" i="1"/>
  <c r="W67" i="1"/>
  <c r="K67" i="1"/>
  <c r="H67" i="1"/>
  <c r="F67" i="1"/>
  <c r="D67" i="1"/>
  <c r="C67" i="1"/>
  <c r="Z66" i="1"/>
  <c r="Y66" i="1"/>
  <c r="X66" i="1"/>
  <c r="W66" i="1"/>
  <c r="K66" i="1"/>
  <c r="H66" i="1"/>
  <c r="F66" i="1"/>
  <c r="D66" i="1"/>
  <c r="C66" i="1"/>
  <c r="Z65" i="1"/>
  <c r="Y65" i="1"/>
  <c r="X65" i="1"/>
  <c r="W65" i="1"/>
  <c r="K65" i="1"/>
  <c r="H65" i="1"/>
  <c r="F65" i="1"/>
  <c r="D65" i="1"/>
  <c r="C65" i="1"/>
  <c r="Z64" i="1"/>
  <c r="Y64" i="1"/>
  <c r="X64" i="1"/>
  <c r="W64" i="1"/>
  <c r="K64" i="1"/>
  <c r="H64" i="1"/>
  <c r="F64" i="1"/>
  <c r="D64" i="1"/>
  <c r="C64" i="1"/>
  <c r="Z63" i="1"/>
  <c r="Y63" i="1"/>
  <c r="X63" i="1"/>
  <c r="W63" i="1"/>
  <c r="K63" i="1"/>
  <c r="H63" i="1"/>
  <c r="F63" i="1"/>
  <c r="D63" i="1"/>
  <c r="C63" i="1"/>
  <c r="Z62" i="1"/>
  <c r="Y62" i="1"/>
  <c r="X62" i="1"/>
  <c r="W62" i="1"/>
  <c r="K62" i="1"/>
  <c r="H62" i="1"/>
  <c r="F62" i="1"/>
  <c r="D62" i="1"/>
  <c r="C62" i="1"/>
  <c r="Z61" i="1"/>
  <c r="Y61" i="1"/>
  <c r="X61" i="1"/>
  <c r="W61" i="1"/>
  <c r="K61" i="1"/>
  <c r="H61" i="1"/>
  <c r="F61" i="1"/>
  <c r="D61" i="1"/>
  <c r="C61" i="1"/>
  <c r="Z60" i="1"/>
  <c r="Y60" i="1"/>
  <c r="X60" i="1"/>
  <c r="W60" i="1"/>
  <c r="K60" i="1"/>
  <c r="H60" i="1"/>
  <c r="F60" i="1"/>
  <c r="D60" i="1"/>
  <c r="C60" i="1"/>
  <c r="Z59" i="1"/>
  <c r="Y59" i="1"/>
  <c r="X59" i="1"/>
  <c r="W59" i="1"/>
  <c r="K59" i="1"/>
  <c r="H59" i="1"/>
  <c r="F59" i="1"/>
  <c r="D59" i="1"/>
  <c r="C59" i="1"/>
  <c r="Z58" i="1"/>
  <c r="Y58" i="1"/>
  <c r="X58" i="1"/>
  <c r="W58" i="1"/>
  <c r="K58" i="1"/>
  <c r="H58" i="1"/>
  <c r="F58" i="1"/>
  <c r="D58" i="1"/>
  <c r="C58" i="1"/>
  <c r="Z57" i="1"/>
  <c r="Y57" i="1"/>
  <c r="X57" i="1"/>
  <c r="W57" i="1"/>
  <c r="K57" i="1"/>
  <c r="H57" i="1"/>
  <c r="F57" i="1"/>
  <c r="D57" i="1"/>
  <c r="C57" i="1"/>
  <c r="Z56" i="1"/>
  <c r="Y56" i="1"/>
  <c r="X56" i="1"/>
  <c r="W56" i="1"/>
  <c r="K56" i="1"/>
  <c r="H56" i="1"/>
  <c r="F56" i="1"/>
  <c r="D56" i="1"/>
  <c r="C56" i="1"/>
  <c r="Z55" i="1"/>
  <c r="Y55" i="1"/>
  <c r="X55" i="1"/>
  <c r="W55" i="1"/>
  <c r="K55" i="1"/>
  <c r="H55" i="1"/>
  <c r="F55" i="1"/>
  <c r="D55" i="1"/>
  <c r="C55" i="1"/>
  <c r="Z54" i="1"/>
  <c r="Y54" i="1"/>
  <c r="X54" i="1"/>
  <c r="W54" i="1"/>
  <c r="K54" i="1"/>
  <c r="H54" i="1"/>
  <c r="F54" i="1"/>
  <c r="D54" i="1"/>
  <c r="C54" i="1"/>
  <c r="Z53" i="1"/>
  <c r="Y53" i="1"/>
  <c r="X53" i="1"/>
  <c r="W53" i="1"/>
  <c r="K53" i="1"/>
  <c r="H53" i="1"/>
  <c r="F53" i="1"/>
  <c r="D53" i="1"/>
  <c r="C53" i="1"/>
  <c r="Z52" i="1"/>
  <c r="Y52" i="1"/>
  <c r="X52" i="1"/>
  <c r="W52" i="1"/>
  <c r="K52" i="1"/>
  <c r="H52" i="1"/>
  <c r="F52" i="1"/>
  <c r="D52" i="1"/>
  <c r="C52" i="1"/>
  <c r="Z51" i="1"/>
  <c r="Y51" i="1"/>
  <c r="X51" i="1"/>
  <c r="W51" i="1"/>
  <c r="K51" i="1"/>
  <c r="H51" i="1"/>
  <c r="F51" i="1"/>
  <c r="D51" i="1"/>
  <c r="C51" i="1"/>
  <c r="Z50" i="1"/>
  <c r="Y50" i="1"/>
  <c r="X50" i="1"/>
  <c r="W50" i="1"/>
  <c r="K50" i="1"/>
  <c r="H50" i="1"/>
  <c r="F50" i="1"/>
  <c r="D50" i="1"/>
  <c r="C50" i="1"/>
  <c r="Z49" i="1"/>
  <c r="Y49" i="1"/>
  <c r="X49" i="1"/>
  <c r="W49" i="1"/>
  <c r="K49" i="1"/>
  <c r="H49" i="1"/>
  <c r="F49" i="1"/>
  <c r="D49" i="1"/>
  <c r="C49" i="1"/>
  <c r="Z48" i="1"/>
  <c r="Y48" i="1"/>
  <c r="X48" i="1"/>
  <c r="W48" i="1"/>
  <c r="K48" i="1"/>
  <c r="H48" i="1"/>
  <c r="F48" i="1"/>
  <c r="D48" i="1"/>
  <c r="C48" i="1"/>
  <c r="Z47" i="1"/>
  <c r="Y47" i="1"/>
  <c r="X47" i="1"/>
  <c r="W47" i="1"/>
  <c r="K47" i="1"/>
  <c r="H47" i="1"/>
  <c r="F47" i="1"/>
  <c r="D47" i="1"/>
  <c r="C47" i="1"/>
  <c r="Z46" i="1"/>
  <c r="Y46" i="1"/>
  <c r="X46" i="1"/>
  <c r="W46" i="1"/>
  <c r="K46" i="1"/>
  <c r="H46" i="1"/>
  <c r="F46" i="1"/>
  <c r="D46" i="1"/>
  <c r="C46" i="1"/>
  <c r="Z45" i="1"/>
  <c r="Y45" i="1"/>
  <c r="X45" i="1"/>
  <c r="W45" i="1"/>
  <c r="K45" i="1"/>
  <c r="H45" i="1"/>
  <c r="F45" i="1"/>
  <c r="D45" i="1"/>
  <c r="C45" i="1"/>
  <c r="Z44" i="1"/>
  <c r="Y44" i="1"/>
  <c r="X44" i="1"/>
  <c r="W44" i="1"/>
  <c r="K44" i="1"/>
  <c r="H44" i="1"/>
  <c r="F44" i="1"/>
  <c r="D44" i="1"/>
  <c r="C44" i="1"/>
  <c r="Z43" i="1"/>
  <c r="Y43" i="1"/>
  <c r="X43" i="1"/>
  <c r="W43" i="1"/>
  <c r="K43" i="1"/>
  <c r="V166" i="1" s="1"/>
  <c r="H43" i="1"/>
  <c r="F43" i="1"/>
  <c r="D43" i="1"/>
  <c r="C43" i="1"/>
  <c r="Z42" i="1"/>
  <c r="Y42" i="1"/>
  <c r="X42" i="1"/>
  <c r="W42" i="1"/>
  <c r="K42" i="1"/>
  <c r="H42" i="1"/>
  <c r="F42" i="1"/>
  <c r="D42" i="1"/>
  <c r="C42" i="1"/>
  <c r="Z41" i="1"/>
  <c r="Y41" i="1"/>
  <c r="X41" i="1"/>
  <c r="W41" i="1"/>
  <c r="K41" i="1"/>
  <c r="H41" i="1"/>
  <c r="F41" i="1"/>
  <c r="D41" i="1"/>
  <c r="C41" i="1"/>
  <c r="Z40" i="1"/>
  <c r="Y40" i="1"/>
  <c r="X40" i="1"/>
  <c r="W40" i="1"/>
  <c r="K40" i="1"/>
  <c r="H40" i="1"/>
  <c r="F40" i="1"/>
  <c r="D40" i="1"/>
  <c r="C40" i="1"/>
  <c r="Z39" i="1"/>
  <c r="Y39" i="1"/>
  <c r="X39" i="1"/>
  <c r="W39" i="1"/>
  <c r="K39" i="1"/>
  <c r="H39" i="1"/>
  <c r="F39" i="1"/>
  <c r="D39" i="1"/>
  <c r="C39" i="1"/>
  <c r="Z38" i="1"/>
  <c r="Y38" i="1"/>
  <c r="X38" i="1"/>
  <c r="W38" i="1"/>
  <c r="K38" i="1"/>
  <c r="H38" i="1"/>
  <c r="F38" i="1"/>
  <c r="D38" i="1"/>
  <c r="C38" i="1"/>
  <c r="Z37" i="1"/>
  <c r="Y37" i="1"/>
  <c r="X37" i="1"/>
  <c r="W37" i="1"/>
  <c r="K37" i="1"/>
  <c r="H37" i="1"/>
  <c r="F37" i="1"/>
  <c r="D37" i="1"/>
  <c r="C37" i="1"/>
  <c r="Z36" i="1"/>
  <c r="Y36" i="1"/>
  <c r="X36" i="1"/>
  <c r="W36" i="1"/>
  <c r="K36" i="1"/>
  <c r="H36" i="1"/>
  <c r="F36" i="1"/>
  <c r="D36" i="1"/>
  <c r="C36" i="1"/>
  <c r="Z35" i="1"/>
  <c r="Y35" i="1"/>
  <c r="X35" i="1"/>
  <c r="W35" i="1"/>
  <c r="K35" i="1"/>
  <c r="H35" i="1"/>
  <c r="F35" i="1"/>
  <c r="D35" i="1"/>
  <c r="C35" i="1"/>
  <c r="Z34" i="1"/>
  <c r="Y34" i="1"/>
  <c r="X34" i="1"/>
  <c r="W34" i="1"/>
  <c r="V34" i="1"/>
  <c r="K34" i="1"/>
  <c r="H34" i="1"/>
  <c r="F34" i="1"/>
  <c r="D34" i="1"/>
  <c r="C34" i="1"/>
  <c r="Z33" i="1"/>
  <c r="Y33" i="1"/>
  <c r="X33" i="1"/>
  <c r="W33" i="1"/>
  <c r="K33" i="1"/>
  <c r="H33" i="1"/>
  <c r="F33" i="1"/>
  <c r="D33" i="1"/>
  <c r="C33" i="1"/>
  <c r="Z32" i="1"/>
  <c r="Y32" i="1"/>
  <c r="X32" i="1"/>
  <c r="W32" i="1"/>
  <c r="K32" i="1"/>
  <c r="H32" i="1"/>
  <c r="F32" i="1"/>
  <c r="D32" i="1"/>
  <c r="C32" i="1"/>
  <c r="Z31" i="1"/>
  <c r="Y31" i="1"/>
  <c r="X31" i="1"/>
  <c r="W31" i="1"/>
  <c r="K31" i="1"/>
  <c r="H31" i="1"/>
  <c r="F31" i="1"/>
  <c r="D31" i="1"/>
  <c r="C31" i="1"/>
  <c r="Z30" i="1"/>
  <c r="Y30" i="1"/>
  <c r="X30" i="1"/>
  <c r="W30" i="1"/>
  <c r="K30" i="1"/>
  <c r="H30" i="1"/>
  <c r="F30" i="1"/>
  <c r="D30" i="1"/>
  <c r="C30" i="1"/>
  <c r="Z29" i="1"/>
  <c r="Y29" i="1"/>
  <c r="X29" i="1"/>
  <c r="W29" i="1"/>
  <c r="K29" i="1"/>
  <c r="H29" i="1"/>
  <c r="F29" i="1"/>
  <c r="D29" i="1"/>
  <c r="C29" i="1"/>
  <c r="Z28" i="1"/>
  <c r="Y28" i="1"/>
  <c r="X28" i="1"/>
  <c r="W28" i="1"/>
  <c r="V28" i="1"/>
  <c r="K28" i="1"/>
  <c r="H28" i="1"/>
  <c r="F28" i="1"/>
  <c r="D28" i="1"/>
  <c r="C28" i="1"/>
  <c r="Z27" i="1"/>
  <c r="Y27" i="1"/>
  <c r="X27" i="1"/>
  <c r="W27" i="1"/>
  <c r="K27" i="1"/>
  <c r="H27" i="1"/>
  <c r="F27" i="1"/>
  <c r="D27" i="1"/>
  <c r="C27" i="1"/>
  <c r="Z26" i="1"/>
  <c r="Y26" i="1"/>
  <c r="X26" i="1"/>
  <c r="W26" i="1"/>
  <c r="K26" i="1"/>
  <c r="H26" i="1"/>
  <c r="F26" i="1"/>
  <c r="D26" i="1"/>
  <c r="C26" i="1"/>
  <c r="Z25" i="1"/>
  <c r="Y25" i="1"/>
  <c r="X25" i="1"/>
  <c r="W25" i="1"/>
  <c r="K25" i="1"/>
  <c r="H25" i="1"/>
  <c r="F25" i="1"/>
  <c r="D25" i="1"/>
  <c r="C25" i="1"/>
  <c r="Z24" i="1"/>
  <c r="Y24" i="1"/>
  <c r="X24" i="1"/>
  <c r="W24" i="1"/>
  <c r="K24" i="1"/>
  <c r="H24" i="1"/>
  <c r="F24" i="1"/>
  <c r="D24" i="1"/>
  <c r="C24" i="1"/>
  <c r="Z23" i="1"/>
  <c r="Y23" i="1"/>
  <c r="X23" i="1"/>
  <c r="W23" i="1"/>
  <c r="K23" i="1"/>
  <c r="H23" i="1"/>
  <c r="F23" i="1"/>
  <c r="D23" i="1"/>
  <c r="C23" i="1"/>
  <c r="Z22" i="1"/>
  <c r="Y22" i="1"/>
  <c r="X22" i="1"/>
  <c r="W22" i="1"/>
  <c r="V22" i="1"/>
  <c r="K22" i="1"/>
  <c r="H22" i="1"/>
  <c r="F22" i="1"/>
  <c r="D22" i="1"/>
  <c r="C22" i="1"/>
  <c r="Z21" i="1"/>
  <c r="Y21" i="1"/>
  <c r="X21" i="1"/>
  <c r="W21" i="1"/>
  <c r="K21" i="1"/>
  <c r="H21" i="1"/>
  <c r="F21" i="1"/>
  <c r="D21" i="1"/>
  <c r="C21" i="1"/>
  <c r="Z20" i="1"/>
  <c r="Y20" i="1"/>
  <c r="X20" i="1"/>
  <c r="W20" i="1"/>
  <c r="K20" i="1"/>
  <c r="H20" i="1"/>
  <c r="F20" i="1"/>
  <c r="D20" i="1"/>
  <c r="C20" i="1"/>
  <c r="Z19" i="1"/>
  <c r="Y19" i="1"/>
  <c r="X19" i="1"/>
  <c r="W19" i="1"/>
  <c r="K19" i="1"/>
  <c r="H19" i="1"/>
  <c r="F19" i="1"/>
  <c r="D19" i="1"/>
  <c r="C19" i="1"/>
  <c r="Z18" i="1"/>
  <c r="Y18" i="1"/>
  <c r="X18" i="1"/>
  <c r="W18" i="1"/>
  <c r="K18" i="1"/>
  <c r="H18" i="1"/>
  <c r="F18" i="1"/>
  <c r="D18" i="1"/>
  <c r="C18" i="1"/>
  <c r="Z17" i="1"/>
  <c r="Y17" i="1"/>
  <c r="X17" i="1"/>
  <c r="W17" i="1"/>
  <c r="K17" i="1"/>
  <c r="H17" i="1"/>
  <c r="F17" i="1"/>
  <c r="D17" i="1"/>
  <c r="C17" i="1"/>
  <c r="Z16" i="1"/>
  <c r="Y16" i="1"/>
  <c r="X16" i="1"/>
  <c r="W16" i="1"/>
  <c r="V16" i="1"/>
  <c r="K16" i="1"/>
  <c r="H16" i="1"/>
  <c r="F16" i="1"/>
  <c r="D16" i="1"/>
  <c r="C16" i="1"/>
  <c r="Z15" i="1"/>
  <c r="Y15" i="1"/>
  <c r="X15" i="1"/>
  <c r="W15" i="1"/>
  <c r="K15" i="1"/>
  <c r="H15" i="1"/>
  <c r="F15" i="1"/>
  <c r="D15" i="1"/>
  <c r="C15" i="1"/>
  <c r="Z14" i="1"/>
  <c r="Y14" i="1"/>
  <c r="X14" i="1"/>
  <c r="W14" i="1"/>
  <c r="K14" i="1"/>
  <c r="H14" i="1"/>
  <c r="F14" i="1"/>
  <c r="D14" i="1"/>
  <c r="C14" i="1"/>
  <c r="Z13" i="1"/>
  <c r="Y13" i="1"/>
  <c r="X13" i="1"/>
  <c r="W13" i="1"/>
  <c r="K13" i="1"/>
  <c r="H13" i="1"/>
  <c r="F13" i="1"/>
  <c r="D13" i="1"/>
  <c r="C13" i="1"/>
  <c r="Z12" i="1"/>
  <c r="Y12" i="1"/>
  <c r="X12" i="1"/>
  <c r="W12" i="1"/>
  <c r="K12" i="1"/>
  <c r="H12" i="1"/>
  <c r="F12" i="1"/>
  <c r="D12" i="1"/>
  <c r="C12" i="1"/>
  <c r="Z11" i="1"/>
  <c r="Y11" i="1"/>
  <c r="X11" i="1"/>
  <c r="W11" i="1"/>
  <c r="K11" i="1"/>
  <c r="H11" i="1"/>
  <c r="F11" i="1"/>
  <c r="D11" i="1"/>
  <c r="C11" i="1"/>
  <c r="Z10" i="1"/>
  <c r="Y10" i="1"/>
  <c r="X10" i="1"/>
  <c r="W10" i="1"/>
  <c r="V10" i="1"/>
  <c r="K10" i="1"/>
  <c r="H10" i="1"/>
  <c r="F10" i="1"/>
  <c r="D10" i="1"/>
  <c r="C10" i="1"/>
  <c r="Z9" i="1"/>
  <c r="Y9" i="1"/>
  <c r="X9" i="1"/>
  <c r="W9" i="1"/>
  <c r="K9" i="1"/>
  <c r="H9" i="1"/>
  <c r="F9" i="1"/>
  <c r="D9" i="1"/>
  <c r="C9" i="1"/>
  <c r="Z8" i="1"/>
  <c r="Y8" i="1"/>
  <c r="X8" i="1"/>
  <c r="W8" i="1"/>
  <c r="K8" i="1"/>
  <c r="H8" i="1"/>
  <c r="F8" i="1"/>
  <c r="D8" i="1"/>
  <c r="C8" i="1"/>
  <c r="Z7" i="1"/>
  <c r="Y7" i="1"/>
  <c r="X7" i="1"/>
  <c r="W7" i="1"/>
  <c r="K7" i="1"/>
  <c r="V232" i="1" s="1"/>
  <c r="H7" i="1"/>
  <c r="F7" i="1"/>
  <c r="D7" i="1"/>
  <c r="C7" i="1"/>
  <c r="Z6" i="1"/>
  <c r="Y6" i="1"/>
  <c r="X6" i="1"/>
  <c r="W6" i="1"/>
  <c r="K6" i="1"/>
  <c r="H6" i="1"/>
  <c r="F6" i="1"/>
  <c r="D6" i="1"/>
  <c r="C6" i="1"/>
  <c r="Z5" i="1"/>
  <c r="Y5" i="1"/>
  <c r="X5" i="1"/>
  <c r="W5" i="1"/>
  <c r="K5" i="1"/>
  <c r="H5" i="1"/>
  <c r="F5" i="1"/>
  <c r="D5" i="1"/>
  <c r="C5" i="1"/>
  <c r="Z4" i="1"/>
  <c r="Y4" i="1"/>
  <c r="X4" i="1"/>
  <c r="W4" i="1"/>
  <c r="V4" i="1"/>
  <c r="K4" i="1"/>
  <c r="H4" i="1"/>
  <c r="F4" i="1"/>
  <c r="D4" i="1"/>
  <c r="C4" i="1"/>
  <c r="Z3" i="1"/>
  <c r="Y3" i="1"/>
  <c r="X3" i="1"/>
  <c r="W3" i="1"/>
  <c r="K3" i="1"/>
  <c r="H3" i="1"/>
  <c r="F3" i="1"/>
  <c r="D3" i="1"/>
  <c r="C3" i="1"/>
  <c r="V64" i="1" l="1"/>
  <c r="V136" i="1"/>
  <c r="V208" i="1"/>
  <c r="V280" i="1"/>
  <c r="V238" i="1"/>
  <c r="V106" i="1"/>
  <c r="V178" i="1"/>
  <c r="V250" i="1"/>
  <c r="V76" i="1"/>
  <c r="V148" i="1"/>
  <c r="V220" i="1"/>
  <c r="V46" i="1"/>
  <c r="V118" i="1"/>
  <c r="V190" i="1"/>
  <c r="V262" i="1"/>
  <c r="V88" i="1"/>
  <c r="V160" i="1"/>
  <c r="V500" i="1"/>
  <c r="V292" i="1"/>
  <c r="V286" i="1"/>
  <c r="V58" i="1"/>
  <c r="V130" i="1"/>
  <c r="V202" i="1"/>
  <c r="V274" i="1"/>
  <c r="V100" i="1"/>
  <c r="V172" i="1"/>
  <c r="V244" i="1"/>
  <c r="V70" i="1"/>
  <c r="V142" i="1"/>
  <c r="V214" i="1"/>
  <c r="V40" i="1"/>
  <c r="V112" i="1"/>
  <c r="V184" i="1"/>
  <c r="V256" i="1"/>
  <c r="V82" i="1"/>
  <c r="V154" i="1"/>
  <c r="V226" i="1"/>
  <c r="V52" i="1"/>
  <c r="V124" i="1"/>
  <c r="V196" i="1"/>
  <c r="V268" i="1"/>
  <c r="V7" i="1"/>
  <c r="V13" i="1"/>
  <c r="V19" i="1"/>
  <c r="V25" i="1"/>
  <c r="V31" i="1"/>
  <c r="V37" i="1"/>
  <c r="V43" i="1"/>
  <c r="V49" i="1"/>
  <c r="V55" i="1"/>
  <c r="V61" i="1"/>
  <c r="V67" i="1"/>
  <c r="V73" i="1"/>
  <c r="V79" i="1"/>
  <c r="V85" i="1"/>
  <c r="V91" i="1"/>
  <c r="V97" i="1"/>
  <c r="V103" i="1"/>
  <c r="V109" i="1"/>
  <c r="V115" i="1"/>
  <c r="V121" i="1"/>
  <c r="V127" i="1"/>
  <c r="V133" i="1"/>
  <c r="V139" i="1"/>
  <c r="V145" i="1"/>
  <c r="V151" i="1"/>
  <c r="V157" i="1"/>
  <c r="V163" i="1"/>
  <c r="V169" i="1"/>
  <c r="V175" i="1"/>
  <c r="V181" i="1"/>
  <c r="V187" i="1"/>
  <c r="V193" i="1"/>
  <c r="V199" i="1"/>
  <c r="V205" i="1"/>
  <c r="V211" i="1"/>
  <c r="V217" i="1"/>
  <c r="V223" i="1"/>
  <c r="V229" i="1"/>
  <c r="V235" i="1"/>
  <c r="V241" i="1"/>
  <c r="V247" i="1"/>
  <c r="V253" i="1"/>
  <c r="V259" i="1"/>
  <c r="V265" i="1"/>
  <c r="V271" i="1"/>
  <c r="V277" i="1"/>
  <c r="V283" i="1"/>
  <c r="V289" i="1"/>
  <c r="V295" i="1"/>
  <c r="V301" i="1"/>
  <c r="V307" i="1"/>
  <c r="V313" i="1"/>
  <c r="V319" i="1"/>
  <c r="V325" i="1"/>
  <c r="V331" i="1"/>
  <c r="V337" i="1"/>
  <c r="V343" i="1"/>
  <c r="V349" i="1"/>
  <c r="V355" i="1"/>
  <c r="V361" i="1"/>
  <c r="V367" i="1"/>
  <c r="V373" i="1"/>
  <c r="V379" i="1"/>
  <c r="V385" i="1"/>
  <c r="V391" i="1"/>
  <c r="V397" i="1"/>
  <c r="V403" i="1"/>
  <c r="V409" i="1"/>
  <c r="V415" i="1"/>
  <c r="V421" i="1"/>
  <c r="V427" i="1"/>
  <c r="V433" i="1"/>
  <c r="V439" i="1"/>
  <c r="V445" i="1"/>
  <c r="V451" i="1"/>
  <c r="V457" i="1"/>
  <c r="V463" i="1"/>
  <c r="V469" i="1"/>
  <c r="V475" i="1"/>
  <c r="V481" i="1"/>
  <c r="V487" i="1"/>
  <c r="V493" i="1"/>
  <c r="V499" i="1"/>
  <c r="V24" i="1"/>
  <c r="V42" i="1"/>
  <c r="V48" i="1"/>
  <c r="V54" i="1"/>
  <c r="V60" i="1"/>
  <c r="V66" i="1"/>
  <c r="V72" i="1"/>
  <c r="V78" i="1"/>
  <c r="V84" i="1"/>
  <c r="V90" i="1"/>
  <c r="V96" i="1"/>
  <c r="V102" i="1"/>
  <c r="V108" i="1"/>
  <c r="V114" i="1"/>
  <c r="V120" i="1"/>
  <c r="V126" i="1"/>
  <c r="V132" i="1"/>
  <c r="V138" i="1"/>
  <c r="V144" i="1"/>
  <c r="V150" i="1"/>
  <c r="V156" i="1"/>
  <c r="V162" i="1"/>
  <c r="V168" i="1"/>
  <c r="V174" i="1"/>
  <c r="V180" i="1"/>
  <c r="V186" i="1"/>
  <c r="V192" i="1"/>
  <c r="V198" i="1"/>
  <c r="V204" i="1"/>
  <c r="V210" i="1"/>
  <c r="V216" i="1"/>
  <c r="V222" i="1"/>
  <c r="V228" i="1"/>
  <c r="V234" i="1"/>
  <c r="V240" i="1"/>
  <c r="V246" i="1"/>
  <c r="V252" i="1"/>
  <c r="V258" i="1"/>
  <c r="V264" i="1"/>
  <c r="V270" i="1"/>
  <c r="V276" i="1"/>
  <c r="V282" i="1"/>
  <c r="V288" i="1"/>
  <c r="V294" i="1"/>
  <c r="V300" i="1"/>
  <c r="V306" i="1"/>
  <c r="V312" i="1"/>
  <c r="V318" i="1"/>
  <c r="V324" i="1"/>
  <c r="V330" i="1"/>
  <c r="V336" i="1"/>
  <c r="V342" i="1"/>
  <c r="V348" i="1"/>
  <c r="V354" i="1"/>
  <c r="V360" i="1"/>
  <c r="V366" i="1"/>
  <c r="V372" i="1"/>
  <c r="V378" i="1"/>
  <c r="V384" i="1"/>
  <c r="V390" i="1"/>
  <c r="V396" i="1"/>
  <c r="V402" i="1"/>
  <c r="V408" i="1"/>
  <c r="V414" i="1"/>
  <c r="V420" i="1"/>
  <c r="V426" i="1"/>
  <c r="V432" i="1"/>
  <c r="V438" i="1"/>
  <c r="V444" i="1"/>
  <c r="V450" i="1"/>
  <c r="V456" i="1"/>
  <c r="V462" i="1"/>
  <c r="V468" i="1"/>
  <c r="V474" i="1"/>
  <c r="V480" i="1"/>
  <c r="V486" i="1"/>
  <c r="V492" i="1"/>
  <c r="V498" i="1"/>
  <c r="V12" i="1"/>
  <c r="V18" i="1"/>
  <c r="V30" i="1"/>
  <c r="V36" i="1"/>
  <c r="V6" i="1"/>
  <c r="V11" i="1"/>
  <c r="V17" i="1"/>
  <c r="V23" i="1"/>
  <c r="V29" i="1"/>
  <c r="V35" i="1"/>
  <c r="V41" i="1"/>
  <c r="V47" i="1"/>
  <c r="V53" i="1"/>
  <c r="V59" i="1"/>
  <c r="V65" i="1"/>
  <c r="V71" i="1"/>
  <c r="V77" i="1"/>
  <c r="V83" i="1"/>
  <c r="V89" i="1"/>
  <c r="V95" i="1"/>
  <c r="V101" i="1"/>
  <c r="V107" i="1"/>
  <c r="V113" i="1"/>
  <c r="V119" i="1"/>
  <c r="V125" i="1"/>
  <c r="V131" i="1"/>
  <c r="V137" i="1"/>
  <c r="V143" i="1"/>
  <c r="V149" i="1"/>
  <c r="V155" i="1"/>
  <c r="V161" i="1"/>
  <c r="V167" i="1"/>
  <c r="V173" i="1"/>
  <c r="V179" i="1"/>
  <c r="V185" i="1"/>
  <c r="V191" i="1"/>
  <c r="V197" i="1"/>
  <c r="V203" i="1"/>
  <c r="V209" i="1"/>
  <c r="V215" i="1"/>
  <c r="V221" i="1"/>
  <c r="V227" i="1"/>
  <c r="V233" i="1"/>
  <c r="V239" i="1"/>
  <c r="V245" i="1"/>
  <c r="V251" i="1"/>
  <c r="V257" i="1"/>
  <c r="V263" i="1"/>
  <c r="V269" i="1"/>
  <c r="V275" i="1"/>
  <c r="V281" i="1"/>
  <c r="V287" i="1"/>
  <c r="V293" i="1"/>
  <c r="V299" i="1"/>
  <c r="V305" i="1"/>
  <c r="V311" i="1"/>
  <c r="V317" i="1"/>
  <c r="V323" i="1"/>
  <c r="V329" i="1"/>
  <c r="V335" i="1"/>
  <c r="V341" i="1"/>
  <c r="V347" i="1"/>
  <c r="V353" i="1"/>
  <c r="V359" i="1"/>
  <c r="V365" i="1"/>
  <c r="V371" i="1"/>
  <c r="V377" i="1"/>
  <c r="V383" i="1"/>
  <c r="V389" i="1"/>
  <c r="V395" i="1"/>
  <c r="V401" i="1"/>
  <c r="V407" i="1"/>
  <c r="V413" i="1"/>
  <c r="V419" i="1"/>
  <c r="V425" i="1"/>
  <c r="V431" i="1"/>
  <c r="V437" i="1"/>
  <c r="V443" i="1"/>
  <c r="V449" i="1"/>
  <c r="V455" i="1"/>
  <c r="V461" i="1"/>
  <c r="V467" i="1"/>
  <c r="V473" i="1"/>
  <c r="V479" i="1"/>
  <c r="V485" i="1"/>
  <c r="V491" i="1"/>
  <c r="V497" i="1"/>
  <c r="V5" i="1"/>
  <c r="V298" i="1"/>
  <c r="V304" i="1"/>
  <c r="V310" i="1"/>
  <c r="V316" i="1"/>
  <c r="V322" i="1"/>
  <c r="V328" i="1"/>
  <c r="V334" i="1"/>
  <c r="V340" i="1"/>
  <c r="V346" i="1"/>
  <c r="V352" i="1"/>
  <c r="V358" i="1"/>
  <c r="V364" i="1"/>
  <c r="V370" i="1"/>
  <c r="V376" i="1"/>
  <c r="V382" i="1"/>
  <c r="V388" i="1"/>
  <c r="V394" i="1"/>
  <c r="V400" i="1"/>
  <c r="V406" i="1"/>
  <c r="V412" i="1"/>
  <c r="V418" i="1"/>
  <c r="V424" i="1"/>
  <c r="V430" i="1"/>
  <c r="V436" i="1"/>
  <c r="V442" i="1"/>
  <c r="V448" i="1"/>
  <c r="V454" i="1"/>
  <c r="V460" i="1"/>
  <c r="V466" i="1"/>
  <c r="V472" i="1"/>
  <c r="V478" i="1"/>
  <c r="V484" i="1"/>
  <c r="V490" i="1"/>
  <c r="V496" i="1"/>
  <c r="V502" i="1"/>
  <c r="V3" i="1"/>
  <c r="V9" i="1"/>
  <c r="V15" i="1"/>
  <c r="V21" i="1"/>
  <c r="V27" i="1"/>
  <c r="V33" i="1"/>
  <c r="V39" i="1"/>
  <c r="V45" i="1"/>
  <c r="V51" i="1"/>
  <c r="V57" i="1"/>
  <c r="V63" i="1"/>
  <c r="V69" i="1"/>
  <c r="V75" i="1"/>
  <c r="V81" i="1"/>
  <c r="V87" i="1"/>
  <c r="V93" i="1"/>
  <c r="V99" i="1"/>
  <c r="V105" i="1"/>
  <c r="V111" i="1"/>
  <c r="V117" i="1"/>
  <c r="V123" i="1"/>
  <c r="V129" i="1"/>
  <c r="V135" i="1"/>
  <c r="V141" i="1"/>
  <c r="V147" i="1"/>
  <c r="V153" i="1"/>
  <c r="V159" i="1"/>
  <c r="V165" i="1"/>
  <c r="V171" i="1"/>
  <c r="V177" i="1"/>
  <c r="V183" i="1"/>
  <c r="V189" i="1"/>
  <c r="V195" i="1"/>
  <c r="V201" i="1"/>
  <c r="V207" i="1"/>
  <c r="V213" i="1"/>
  <c r="V219" i="1"/>
  <c r="V225" i="1"/>
  <c r="V231" i="1"/>
  <c r="V237" i="1"/>
  <c r="V243" i="1"/>
  <c r="V249" i="1"/>
  <c r="V255" i="1"/>
  <c r="V261" i="1"/>
  <c r="V267" i="1"/>
  <c r="V273" i="1"/>
  <c r="V279" i="1"/>
  <c r="V285" i="1"/>
  <c r="V291" i="1"/>
  <c r="V297" i="1"/>
  <c r="V303" i="1"/>
  <c r="V309" i="1"/>
  <c r="V315" i="1"/>
  <c r="V321" i="1"/>
  <c r="V327" i="1"/>
  <c r="V333" i="1"/>
  <c r="V339" i="1"/>
  <c r="V345" i="1"/>
  <c r="V351" i="1"/>
  <c r="V357" i="1"/>
  <c r="V363" i="1"/>
  <c r="V369" i="1"/>
  <c r="V375" i="1"/>
  <c r="V381" i="1"/>
  <c r="V387" i="1"/>
  <c r="V393" i="1"/>
  <c r="V399" i="1"/>
  <c r="V405" i="1"/>
  <c r="V411" i="1"/>
  <c r="V417" i="1"/>
  <c r="V423" i="1"/>
  <c r="V429" i="1"/>
  <c r="V435" i="1"/>
  <c r="V441" i="1"/>
  <c r="V447" i="1"/>
  <c r="V453" i="1"/>
  <c r="V459" i="1"/>
  <c r="V465" i="1"/>
  <c r="V471" i="1"/>
  <c r="V477" i="1"/>
  <c r="V483" i="1"/>
  <c r="V489" i="1"/>
  <c r="V495" i="1"/>
  <c r="V501" i="1"/>
  <c r="V8" i="1"/>
  <c r="V14" i="1"/>
  <c r="V20" i="1"/>
  <c r="V26" i="1"/>
  <c r="V32" i="1"/>
  <c r="V38" i="1"/>
  <c r="V44" i="1"/>
  <c r="V50" i="1"/>
  <c r="V56" i="1"/>
  <c r="V62" i="1"/>
  <c r="V68" i="1"/>
  <c r="V74" i="1"/>
  <c r="V80" i="1"/>
  <c r="V86" i="1"/>
  <c r="V92" i="1"/>
  <c r="V98" i="1"/>
  <c r="V104" i="1"/>
  <c r="V110" i="1"/>
  <c r="V116" i="1"/>
  <c r="V122" i="1"/>
  <c r="V128" i="1"/>
  <c r="V134" i="1"/>
  <c r="V140" i="1"/>
  <c r="V146" i="1"/>
  <c r="V152" i="1"/>
  <c r="V158" i="1"/>
  <c r="V164" i="1"/>
  <c r="V170" i="1"/>
  <c r="V176" i="1"/>
  <c r="V182" i="1"/>
  <c r="V188" i="1"/>
  <c r="V194" i="1"/>
  <c r="V200" i="1"/>
  <c r="V206" i="1"/>
  <c r="V212" i="1"/>
  <c r="V218" i="1"/>
  <c r="V224" i="1"/>
  <c r="V230" i="1"/>
  <c r="V236" i="1"/>
  <c r="V242" i="1"/>
  <c r="V248" i="1"/>
  <c r="V254" i="1"/>
  <c r="V260" i="1"/>
  <c r="V266" i="1"/>
  <c r="V272" i="1"/>
  <c r="V278" i="1"/>
  <c r="V284" i="1"/>
  <c r="V290" i="1"/>
  <c r="V296" i="1"/>
  <c r="V302" i="1"/>
  <c r="V308" i="1"/>
  <c r="V314" i="1"/>
  <c r="V320" i="1"/>
  <c r="V326" i="1"/>
  <c r="V332" i="1"/>
  <c r="V338" i="1"/>
  <c r="V344" i="1"/>
  <c r="V350" i="1"/>
  <c r="V356" i="1"/>
  <c r="V362" i="1"/>
  <c r="V368" i="1"/>
  <c r="V374" i="1"/>
  <c r="V380" i="1"/>
  <c r="V386" i="1"/>
  <c r="V392" i="1"/>
  <c r="V398" i="1"/>
  <c r="V404" i="1"/>
  <c r="V410" i="1"/>
  <c r="V416" i="1"/>
  <c r="V422" i="1"/>
  <c r="V428" i="1"/>
  <c r="V434" i="1"/>
  <c r="V440" i="1"/>
  <c r="V446" i="1"/>
  <c r="V452" i="1"/>
  <c r="V458" i="1"/>
  <c r="V464" i="1"/>
  <c r="V470" i="1"/>
  <c r="V476" i="1"/>
  <c r="V482" i="1"/>
  <c r="V488" i="1"/>
  <c r="V494" i="1"/>
</calcChain>
</file>

<file path=xl/sharedStrings.xml><?xml version="1.0" encoding="utf-8"?>
<sst xmlns="http://schemas.openxmlformats.org/spreadsheetml/2006/main" count="198" uniqueCount="183">
  <si>
    <t>Date</t>
  </si>
  <si>
    <t>Aircraft</t>
  </si>
  <si>
    <t>From</t>
  </si>
  <si>
    <t>To</t>
  </si>
  <si>
    <t>Time of</t>
  </si>
  <si>
    <t>Flight Time</t>
  </si>
  <si>
    <t>No of Landings</t>
  </si>
  <si>
    <t>Pilot</t>
  </si>
  <si>
    <t>Attendant</t>
  </si>
  <si>
    <t>Op Condition Times</t>
  </si>
  <si>
    <t>Remarks</t>
  </si>
  <si>
    <t>Endorsements</t>
  </si>
  <si>
    <t>Accumulated Flight Time</t>
  </si>
  <si>
    <t>Accum Landings</t>
  </si>
  <si>
    <t>Registration</t>
  </si>
  <si>
    <t>Type</t>
  </si>
  <si>
    <t>SE/ME</t>
  </si>
  <si>
    <t>ICAO</t>
  </si>
  <si>
    <t>Name</t>
  </si>
  <si>
    <t>Departure</t>
  </si>
  <si>
    <t>Arrival</t>
  </si>
  <si>
    <t>Day</t>
  </si>
  <si>
    <t>Night</t>
  </si>
  <si>
    <t>Duty</t>
  </si>
  <si>
    <t>IFR</t>
  </si>
  <si>
    <t>Total</t>
  </si>
  <si>
    <t>D-AQUI</t>
  </si>
  <si>
    <t>JU52</t>
  </si>
  <si>
    <t>ME</t>
  </si>
  <si>
    <t>EDAY</t>
  </si>
  <si>
    <t>Strausberg</t>
  </si>
  <si>
    <t>EDCA</t>
  </si>
  <si>
    <t>Anklam</t>
  </si>
  <si>
    <t>EDCB</t>
  </si>
  <si>
    <t>Ballenstedt</t>
  </si>
  <si>
    <t>EDCE</t>
  </si>
  <si>
    <t>Eggersdorf</t>
  </si>
  <si>
    <t>EDCP</t>
  </si>
  <si>
    <t>Peenemünde</t>
  </si>
  <si>
    <t>EDDS</t>
  </si>
  <si>
    <t>Stuttgart</t>
  </si>
  <si>
    <t>EDDV</t>
  </si>
  <si>
    <t>Hannover</t>
  </si>
  <si>
    <t>EDDW</t>
  </si>
  <si>
    <t>Bremen</t>
  </si>
  <si>
    <t>EDEN</t>
  </si>
  <si>
    <t>Bad Hersfeld</t>
  </si>
  <si>
    <t>EDEW</t>
  </si>
  <si>
    <t>Walldürn</t>
  </si>
  <si>
    <t>EDFM</t>
  </si>
  <si>
    <t>Mannheim</t>
  </si>
  <si>
    <t>EDFQ</t>
  </si>
  <si>
    <t>Allendorf-Eder</t>
  </si>
  <si>
    <t>EDFV</t>
  </si>
  <si>
    <t>Worms</t>
  </si>
  <si>
    <t>EDFW</t>
  </si>
  <si>
    <t>Würzburg-Schenkenturm</t>
  </si>
  <si>
    <t>EDGE</t>
  </si>
  <si>
    <t>Eisenach-Kindel</t>
  </si>
  <si>
    <t>EDGM</t>
  </si>
  <si>
    <t>Mosbach</t>
  </si>
  <si>
    <t>EDGW</t>
  </si>
  <si>
    <t>Wolfhagen</t>
  </si>
  <si>
    <t>EDJA</t>
  </si>
  <si>
    <t>Memmingen</t>
  </si>
  <si>
    <t>EDKB</t>
  </si>
  <si>
    <t>Bonn/Hangelar</t>
  </si>
  <si>
    <t>EDKV</t>
  </si>
  <si>
    <t>Dahlemer Binz</t>
  </si>
  <si>
    <t>EDMF</t>
  </si>
  <si>
    <t>Fürstenzell</t>
  </si>
  <si>
    <t>EDMK</t>
  </si>
  <si>
    <t>Kempten-Durach</t>
  </si>
  <si>
    <t>EDMV</t>
  </si>
  <si>
    <t>Vilshofen</t>
  </si>
  <si>
    <t>EDMW</t>
  </si>
  <si>
    <t>Deggendorf</t>
  </si>
  <si>
    <t>EDNL</t>
  </si>
  <si>
    <t>Leutkirch-Unterzeil</t>
  </si>
  <si>
    <t>EDNR</t>
  </si>
  <si>
    <t>Regensburg-Oberhub</t>
  </si>
  <si>
    <t>EDNU</t>
  </si>
  <si>
    <t>Thannhausen</t>
  </si>
  <si>
    <t>EDNV</t>
  </si>
  <si>
    <t>Vogtareuth</t>
  </si>
  <si>
    <t>EDNY</t>
  </si>
  <si>
    <t>Friedrichshafen</t>
  </si>
  <si>
    <t>EDOA</t>
  </si>
  <si>
    <t>Auerbach</t>
  </si>
  <si>
    <t>EDOE</t>
  </si>
  <si>
    <t>Böhlen</t>
  </si>
  <si>
    <t>EDPA</t>
  </si>
  <si>
    <t>Aalen-Elchingen</t>
  </si>
  <si>
    <t>EDPC</t>
  </si>
  <si>
    <t>Bad Endorf</t>
  </si>
  <si>
    <t>EDQA</t>
  </si>
  <si>
    <t>Bamberg</t>
  </si>
  <si>
    <t>EDQC</t>
  </si>
  <si>
    <t>Coburg Brandensteinsebene</t>
  </si>
  <si>
    <t>EDQE</t>
  </si>
  <si>
    <t>Burg Feuerstein</t>
  </si>
  <si>
    <t>EDQG</t>
  </si>
  <si>
    <t>Giebelstadt</t>
  </si>
  <si>
    <t>EDQM</t>
  </si>
  <si>
    <t>Hof-Plauen</t>
  </si>
  <si>
    <t>EDQT</t>
  </si>
  <si>
    <t>Haßfurt-Schweinfurt</t>
  </si>
  <si>
    <t>EDRF</t>
  </si>
  <si>
    <t>Bad Dürkheim</t>
  </si>
  <si>
    <t>EDRK</t>
  </si>
  <si>
    <t>Koblenz-Winningen</t>
  </si>
  <si>
    <t>EDRP</t>
  </si>
  <si>
    <t>Pirmasens</t>
  </si>
  <si>
    <t>EDRT</t>
  </si>
  <si>
    <t>Trier-Föhren</t>
  </si>
  <si>
    <t>EDRY</t>
  </si>
  <si>
    <t>Speyer</t>
  </si>
  <si>
    <t>EDSB</t>
  </si>
  <si>
    <t>Karlsruhe / Baden-Baden</t>
  </si>
  <si>
    <t>EDST</t>
  </si>
  <si>
    <t>Hahnweide</t>
  </si>
  <si>
    <t>EDTD</t>
  </si>
  <si>
    <t>Donaueschingen-Villingen</t>
  </si>
  <si>
    <t>EDTF</t>
  </si>
  <si>
    <t>Freiburg im Breisgau</t>
  </si>
  <si>
    <t>EDTG</t>
  </si>
  <si>
    <t>Bremgarten</t>
  </si>
  <si>
    <t>EDTH</t>
  </si>
  <si>
    <t>Heubach</t>
  </si>
  <si>
    <t>EDTM</t>
  </si>
  <si>
    <t>Mengen-Hohentengen</t>
  </si>
  <si>
    <t>EDTQ</t>
  </si>
  <si>
    <t>Pattonville</t>
  </si>
  <si>
    <t>EDTY</t>
  </si>
  <si>
    <t>Schwäbisch Hall</t>
  </si>
  <si>
    <t>EDTZ</t>
  </si>
  <si>
    <t>Konstanz</t>
  </si>
  <si>
    <t>EDVI</t>
  </si>
  <si>
    <t>Höxter-Holzminden</t>
  </si>
  <si>
    <t>EDVK</t>
  </si>
  <si>
    <t>Kassel-Calden</t>
  </si>
  <si>
    <t>EDVY</t>
  </si>
  <si>
    <t>Porta Westfalica</t>
  </si>
  <si>
    <t>EDWF</t>
  </si>
  <si>
    <t>Leer-Papenburg</t>
  </si>
  <si>
    <t>EDWQ</t>
  </si>
  <si>
    <t>Ganderkesee</t>
  </si>
  <si>
    <t>EDWR</t>
  </si>
  <si>
    <t>Borkum</t>
  </si>
  <si>
    <t>EDWX</t>
  </si>
  <si>
    <t>Westerstede-Felde</t>
  </si>
  <si>
    <t>EDWY</t>
  </si>
  <si>
    <t>Norderney</t>
  </si>
  <si>
    <t>EDWZ</t>
  </si>
  <si>
    <t>Baltrum</t>
  </si>
  <si>
    <t>EDXB</t>
  </si>
  <si>
    <t>Heide-Büsum</t>
  </si>
  <si>
    <t>EDXH</t>
  </si>
  <si>
    <t>Helgoland-Düne</t>
  </si>
  <si>
    <t>EDXN</t>
  </si>
  <si>
    <t>Nordholz-Spieka</t>
  </si>
  <si>
    <t>EDXY</t>
  </si>
  <si>
    <t>Wyk</t>
  </si>
  <si>
    <t>ETHN</t>
  </si>
  <si>
    <t>Niederstetten</t>
  </si>
  <si>
    <t>LFKC</t>
  </si>
  <si>
    <t>Calvi</t>
  </si>
  <si>
    <t>LFLG</t>
  </si>
  <si>
    <t>Grenoble-Le Versoud</t>
  </si>
  <si>
    <t>LFPL</t>
  </si>
  <si>
    <t>Longnes-Émerainville</t>
  </si>
  <si>
    <t>LFQA</t>
  </si>
  <si>
    <t>Reims-Prunay</t>
  </si>
  <si>
    <t>LIDT</t>
  </si>
  <si>
    <t>Trento-Matarello</t>
  </si>
  <si>
    <t>LOAN</t>
  </si>
  <si>
    <t>Wiener Neustadt Ost</t>
  </si>
  <si>
    <t>LOIJ</t>
  </si>
  <si>
    <t>St. Johann</t>
  </si>
  <si>
    <t>LOWZ</t>
  </si>
  <si>
    <t>Zell am See</t>
  </si>
  <si>
    <t>ZZZZ</t>
  </si>
  <si>
    <t>Insert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</si>
</sst>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hh]:mm"/>
    <numFmt numFmtId="166" formatCode="#"/>
  </numFmts>
  <fonts count="3" x14ac:knownFonts="1">
    <font>
      <sz val="10"/>
      <name val="Arial"/>
      <family val="2"/>
    </font>
    <font>
      <b/>
      <sz val="10"/>
      <name val="Arial"/>
      <family val="2"/>
    </font>
    <font>
      <b/>
      <i/>
      <sz val="10"/>
      <name val="Arial"/>
      <family val="2"/>
    </font>
  </fonts>
  <fills count="4">
    <fill>
      <patternFill patternType="none"/>
    </fill>
    <fill>
      <patternFill patternType="gray125"/>
    </fill>
    <fill>
      <patternFill patternType="solid">
        <fgColor rgb="FFEEEEEE"/>
        <bgColor rgb="FFFFFFCC"/>
      </patternFill>
    </fill>
    <fill>
      <patternFill patternType="solid">
        <fgColor rgb="FFC8DCFF"/>
        <bgColor rgb="FFEEEEEE"/>
      </patternFill>
    </fill>
  </fills>
  <borders count="16">
    <border>
      <left/>
      <right/>
      <top/>
      <bottom/>
      <diagonal/>
    </border>
    <border>
      <left style="thin">
        <color auto="1"/>
      </left>
      <right style="thin">
        <color auto="1"/>
      </right>
      <top style="thin">
        <color rgb="FF808080"/>
      </top>
      <bottom style="thin">
        <color rgb="FF808080"/>
      </bottom>
      <diagonal/>
    </border>
    <border>
      <left style="thin">
        <color auto="1"/>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n">
        <color auto="1"/>
      </right>
      <top style="thin">
        <color rgb="FF808080"/>
      </top>
      <bottom style="thin">
        <color rgb="FF808080"/>
      </bottom>
      <diagonal/>
    </border>
    <border>
      <left style="medium">
        <color auto="1"/>
      </left>
      <right style="thin">
        <color rgb="FF808080"/>
      </right>
      <top style="thin">
        <color rgb="FF808080"/>
      </top>
      <bottom style="thin">
        <color rgb="FF808080"/>
      </bottom>
      <diagonal/>
    </border>
    <border>
      <left style="thin">
        <color auto="1"/>
      </left>
      <right style="thin">
        <color auto="1"/>
      </right>
      <top style="thin">
        <color auto="1"/>
      </top>
      <bottom style="thin">
        <color rgb="FF808080"/>
      </bottom>
      <diagonal/>
    </border>
    <border>
      <left style="thin">
        <color auto="1"/>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n">
        <color auto="1"/>
      </right>
      <top/>
      <bottom style="thin">
        <color rgb="FF808080"/>
      </bottom>
      <diagonal/>
    </border>
    <border>
      <left style="medium">
        <color auto="1"/>
      </left>
      <right style="thin">
        <color rgb="FF808080"/>
      </right>
      <top/>
      <bottom style="thin">
        <color rgb="FF808080"/>
      </bottom>
      <diagonal/>
    </border>
    <border>
      <left style="thin">
        <color auto="1"/>
      </left>
      <right style="thin">
        <color rgb="FF808080"/>
      </right>
      <top style="thin">
        <color auto="1"/>
      </top>
      <bottom style="thin">
        <color rgb="FF808080"/>
      </bottom>
      <diagonal/>
    </border>
    <border>
      <left style="thin">
        <color rgb="FF808080"/>
      </left>
      <right style="thin">
        <color rgb="FF808080"/>
      </right>
      <top style="thin">
        <color auto="1"/>
      </top>
      <bottom style="thin">
        <color rgb="FF808080"/>
      </bottom>
      <diagonal/>
    </border>
    <border>
      <left style="thin">
        <color rgb="FF808080"/>
      </left>
      <right style="thin">
        <color auto="1"/>
      </right>
      <top style="thin">
        <color auto="1"/>
      </top>
      <bottom style="thin">
        <color rgb="FF808080"/>
      </bottom>
      <diagonal/>
    </border>
  </borders>
  <cellStyleXfs count="1">
    <xf numFmtId="0" fontId="0" fillId="0" borderId="0"/>
  </cellStyleXfs>
  <cellXfs count="50">
    <xf numFmtId="0" fontId="0" fillId="0" borderId="0" xfId="0"/>
    <xf numFmtId="49" fontId="1" fillId="3" borderId="8" xfId="0" applyNumberFormat="1" applyFont="1" applyFill="1" applyBorder="1" applyAlignment="1">
      <alignment horizontal="center" vertical="center" wrapText="1"/>
    </xf>
    <xf numFmtId="165" fontId="1" fillId="3" borderId="7" xfId="0" applyNumberFormat="1" applyFont="1" applyFill="1" applyBorder="1" applyAlignment="1">
      <alignment horizontal="center" vertical="center" wrapText="1"/>
    </xf>
    <xf numFmtId="165" fontId="1" fillId="3" borderId="6" xfId="0" applyNumberFormat="1" applyFont="1" applyFill="1" applyBorder="1" applyAlignment="1">
      <alignment horizontal="center" vertical="center" wrapText="1"/>
    </xf>
    <xf numFmtId="20" fontId="1" fillId="3" borderId="7" xfId="0" applyNumberFormat="1" applyFont="1" applyFill="1" applyBorder="1" applyAlignment="1">
      <alignment horizontal="center" vertical="center" wrapText="1"/>
    </xf>
    <xf numFmtId="49" fontId="1" fillId="3" borderId="7" xfId="0" applyNumberFormat="1" applyFont="1" applyFill="1" applyBorder="1" applyAlignment="1">
      <alignment horizontal="center" vertical="center" wrapText="1"/>
    </xf>
    <xf numFmtId="49" fontId="1" fillId="3" borderId="6" xfId="0" applyNumberFormat="1" applyFont="1" applyFill="1" applyBorder="1" applyAlignment="1">
      <alignment horizontal="center" vertical="center" wrapText="1"/>
    </xf>
    <xf numFmtId="164" fontId="0" fillId="0" borderId="1" xfId="0" applyNumberFormat="1" applyBorder="1" applyAlignment="1">
      <alignment horizontal="left"/>
    </xf>
    <xf numFmtId="0" fontId="0" fillId="0" borderId="2" xfId="0" applyBorder="1"/>
    <xf numFmtId="0" fontId="0" fillId="2" borderId="3" xfId="0" applyFill="1" applyBorder="1"/>
    <xf numFmtId="0" fontId="0" fillId="2" borderId="4" xfId="0" applyFill="1" applyBorder="1"/>
    <xf numFmtId="20" fontId="0" fillId="0" borderId="2" xfId="0" applyNumberFormat="1" applyBorder="1" applyAlignment="1">
      <alignment horizontal="right"/>
    </xf>
    <xf numFmtId="20" fontId="0" fillId="0" borderId="4" xfId="0" applyNumberFormat="1" applyBorder="1" applyAlignment="1">
      <alignment horizontal="right"/>
    </xf>
    <xf numFmtId="165" fontId="0" fillId="2" borderId="1" xfId="0" applyNumberFormat="1" applyFill="1" applyBorder="1" applyAlignment="1">
      <alignment horizontal="right"/>
    </xf>
    <xf numFmtId="166" fontId="0" fillId="0" borderId="2" xfId="0" applyNumberFormat="1" applyBorder="1"/>
    <xf numFmtId="166" fontId="0" fillId="0" borderId="4" xfId="0" applyNumberFormat="1" applyBorder="1"/>
    <xf numFmtId="0" fontId="0" fillId="0" borderId="4" xfId="0" applyBorder="1"/>
    <xf numFmtId="165" fontId="0" fillId="0" borderId="2" xfId="0" applyNumberFormat="1" applyBorder="1" applyAlignment="1">
      <alignment horizontal="center"/>
    </xf>
    <xf numFmtId="165" fontId="0" fillId="0" borderId="4" xfId="0" applyNumberFormat="1" applyBorder="1" applyAlignment="1">
      <alignment horizontal="center"/>
    </xf>
    <xf numFmtId="0" fontId="0" fillId="0" borderId="1" xfId="0" applyBorder="1"/>
    <xf numFmtId="0" fontId="0" fillId="2" borderId="5" xfId="0" applyFill="1" applyBorder="1" applyAlignment="1">
      <alignment horizontal="right"/>
    </xf>
    <xf numFmtId="0" fontId="0" fillId="2" borderId="3" xfId="0" applyFill="1" applyBorder="1" applyAlignment="1">
      <alignment horizontal="right"/>
    </xf>
    <xf numFmtId="0" fontId="0" fillId="2" borderId="4" xfId="0" applyFill="1" applyBorder="1" applyAlignment="1">
      <alignment horizontal="right"/>
    </xf>
    <xf numFmtId="0" fontId="0" fillId="2" borderId="2" xfId="0" applyFill="1" applyBorder="1"/>
    <xf numFmtId="49" fontId="1" fillId="0" borderId="0" xfId="0" applyNumberFormat="1" applyFont="1" applyAlignment="1">
      <alignment horizontal="center" vertical="center" wrapText="1"/>
    </xf>
    <xf numFmtId="49" fontId="1" fillId="3" borderId="9" xfId="0" applyNumberFormat="1" applyFont="1" applyFill="1" applyBorder="1" applyAlignment="1">
      <alignment horizontal="center" vertical="top" wrapText="1"/>
    </xf>
    <xf numFmtId="49" fontId="1" fillId="3" borderId="10" xfId="0" applyNumberFormat="1" applyFont="1" applyFill="1" applyBorder="1" applyAlignment="1">
      <alignment horizontal="center" vertical="top" wrapText="1"/>
    </xf>
    <xf numFmtId="49" fontId="1" fillId="3" borderId="11" xfId="0" applyNumberFormat="1" applyFont="1" applyFill="1" applyBorder="1" applyAlignment="1">
      <alignment horizontal="center" vertical="top" wrapText="1"/>
    </xf>
    <xf numFmtId="20" fontId="1" fillId="3" borderId="9" xfId="0" applyNumberFormat="1" applyFont="1" applyFill="1" applyBorder="1" applyAlignment="1">
      <alignment horizontal="center" vertical="top" wrapText="1"/>
    </xf>
    <xf numFmtId="20" fontId="1" fillId="3" borderId="11" xfId="0" applyNumberFormat="1" applyFont="1" applyFill="1" applyBorder="1" applyAlignment="1">
      <alignment horizontal="center" vertical="top" wrapText="1"/>
    </xf>
    <xf numFmtId="165" fontId="1" fillId="3" borderId="9" xfId="0" applyNumberFormat="1" applyFont="1" applyFill="1" applyBorder="1" applyAlignment="1">
      <alignment horizontal="center" vertical="top" wrapText="1"/>
    </xf>
    <xf numFmtId="165" fontId="1" fillId="3" borderId="11" xfId="0" applyNumberFormat="1" applyFont="1" applyFill="1" applyBorder="1" applyAlignment="1">
      <alignment horizontal="center" vertical="top" wrapText="1"/>
    </xf>
    <xf numFmtId="49" fontId="1" fillId="3" borderId="12" xfId="0" applyNumberFormat="1" applyFont="1" applyFill="1" applyBorder="1" applyAlignment="1">
      <alignment horizontal="center" vertical="top" wrapText="1"/>
    </xf>
    <xf numFmtId="49" fontId="1" fillId="0" borderId="0" xfId="0" applyNumberFormat="1" applyFont="1" applyAlignment="1">
      <alignment horizontal="center" vertical="top" wrapText="1"/>
    </xf>
    <xf numFmtId="165" fontId="0" fillId="2" borderId="5" xfId="0" applyNumberFormat="1" applyFill="1" applyBorder="1" applyAlignment="1">
      <alignment horizontal="right"/>
    </xf>
    <xf numFmtId="165" fontId="0" fillId="2" borderId="3" xfId="0" applyNumberFormat="1" applyFill="1" applyBorder="1" applyAlignment="1">
      <alignment horizontal="right"/>
    </xf>
    <xf numFmtId="165" fontId="0" fillId="2" borderId="4" xfId="0" applyNumberFormat="1" applyFill="1" applyBorder="1" applyAlignment="1">
      <alignment horizontal="right"/>
    </xf>
    <xf numFmtId="164" fontId="0" fillId="0" borderId="1" xfId="0" applyNumberFormat="1" applyBorder="1"/>
    <xf numFmtId="0" fontId="0" fillId="0" borderId="3" xfId="0" applyBorder="1"/>
    <xf numFmtId="0" fontId="1" fillId="3" borderId="13"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15" xfId="0" applyFont="1" applyFill="1" applyBorder="1" applyAlignment="1">
      <alignment horizontal="center" vertical="center" wrapText="1"/>
    </xf>
    <xf numFmtId="0" fontId="1" fillId="0" borderId="0" xfId="0" applyFont="1" applyAlignment="1">
      <alignment horizontal="center" vertical="center" wrapText="1"/>
    </xf>
    <xf numFmtId="49" fontId="0" fillId="0" borderId="2" xfId="0" applyNumberFormat="1" applyBorder="1"/>
    <xf numFmtId="49" fontId="0" fillId="0" borderId="4" xfId="0" applyNumberFormat="1" applyBorder="1"/>
    <xf numFmtId="49" fontId="1" fillId="3" borderId="13" xfId="0" applyNumberFormat="1" applyFont="1" applyFill="1" applyBorder="1" applyAlignment="1">
      <alignment horizontal="center" vertical="center"/>
    </xf>
    <xf numFmtId="49" fontId="1" fillId="3" borderId="15" xfId="0" applyNumberFormat="1" applyFont="1" applyFill="1" applyBorder="1" applyAlignment="1">
      <alignment horizontal="center" vertical="center"/>
    </xf>
    <xf numFmtId="0" fontId="1" fillId="0" borderId="0" xfId="0" applyFont="1" applyAlignment="1">
      <alignment horizontal="center" vertical="center"/>
    </xf>
    <xf numFmtId="49" fontId="2" fillId="0" borderId="2" xfId="0" applyNumberFormat="1" applyFont="1" applyBorder="1"/>
    <xf numFmtId="49" fontId="2" fillId="0" borderId="4" xfId="0" applyNumberFormat="1" applyFont="1" applyBorder="1"/>
  </cellXfs>
  <cellStyles count="1">
    <cellStyle name="Standard" xfId="0" builtinId="0"/>
  </cellStyles>
  <dxfs count="0"/>
  <tableStyles count="0" defaultTableStyle="TableStyleMedium2" defaultPivotStyle="PivotStyleLight16"/>
  <colors>
    <indexedColors>
      <rgbColor rgb="FF000000"/>
      <rgbColor rgb="FFEEEEEE"/>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8D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502"/>
  <sheetViews>
    <sheetView tabSelected="1" zoomScaleNormal="100" workbookViewId="0">
      <pane ySplit="2" topLeftCell="A3" activePane="bottomLeft" state="frozen"/>
      <selection pane="bottomLeft" activeCell="A3" sqref="A3"/>
    </sheetView>
  </sheetViews>
  <sheetFormatPr baseColWidth="10" defaultColWidth="11.5546875" defaultRowHeight="13.2" x14ac:dyDescent="0.25"/>
  <cols>
    <col min="1" max="1" width="10.44140625" style="7" customWidth="1"/>
    <col min="2" max="2" width="11.6640625" style="8" customWidth="1"/>
    <col min="3" max="3" width="8.44140625" style="9" customWidth="1"/>
    <col min="4" max="4" width="6.5546875" style="10" customWidth="1"/>
    <col min="5" max="5" width="7.77734375" style="8" customWidth="1"/>
    <col min="6" max="6" width="23.21875" style="10" customWidth="1"/>
    <col min="7" max="7" width="7.77734375" style="8" customWidth="1"/>
    <col min="8" max="8" width="23.33203125" style="10" customWidth="1"/>
    <col min="9" max="9" width="9.6640625" style="11" customWidth="1"/>
    <col min="10" max="10" width="9.6640625" style="12" customWidth="1"/>
    <col min="11" max="11" width="11" style="13" customWidth="1"/>
    <col min="12" max="12" width="7.33203125" style="14" customWidth="1"/>
    <col min="13" max="13" width="7.109375" style="15" customWidth="1"/>
    <col min="14" max="14" width="11.6640625" style="8" customWidth="1"/>
    <col min="15" max="15" width="5.77734375" style="16" customWidth="1"/>
    <col min="16" max="16" width="11.6640625" style="8" customWidth="1"/>
    <col min="17" max="17" width="5.77734375" style="16" customWidth="1"/>
    <col min="18" max="18" width="9.6640625" style="17" customWidth="1"/>
    <col min="19" max="19" width="9.6640625" style="18" customWidth="1"/>
    <col min="20" max="20" width="11.5546875" style="19"/>
    <col min="21" max="21" width="25.88671875" style="19" customWidth="1"/>
    <col min="22" max="22" width="11" style="20" customWidth="1"/>
    <col min="23" max="23" width="11" style="21" customWidth="1"/>
    <col min="24" max="24" width="11" style="22" customWidth="1"/>
    <col min="25" max="25" width="7.77734375" style="23" customWidth="1"/>
    <col min="26" max="26" width="7.77734375" style="10" customWidth="1"/>
  </cols>
  <sheetData>
    <row r="1" spans="1:26" s="24" customFormat="1" ht="19.649999999999999" customHeight="1" x14ac:dyDescent="0.25">
      <c r="A1" s="6" t="s">
        <v>0</v>
      </c>
      <c r="B1" s="5" t="s">
        <v>1</v>
      </c>
      <c r="C1" s="5"/>
      <c r="D1" s="5"/>
      <c r="E1" s="5" t="s">
        <v>2</v>
      </c>
      <c r="F1" s="5"/>
      <c r="G1" s="5" t="s">
        <v>3</v>
      </c>
      <c r="H1" s="5"/>
      <c r="I1" s="4" t="s">
        <v>4</v>
      </c>
      <c r="J1" s="4"/>
      <c r="K1" s="3" t="s">
        <v>5</v>
      </c>
      <c r="L1" s="5" t="s">
        <v>6</v>
      </c>
      <c r="M1" s="5"/>
      <c r="N1" s="5" t="s">
        <v>7</v>
      </c>
      <c r="O1" s="5"/>
      <c r="P1" s="5" t="s">
        <v>8</v>
      </c>
      <c r="Q1" s="5"/>
      <c r="R1" s="2" t="s">
        <v>9</v>
      </c>
      <c r="S1" s="2"/>
      <c r="T1" s="6" t="s">
        <v>10</v>
      </c>
      <c r="U1" s="6" t="s">
        <v>11</v>
      </c>
      <c r="V1" s="1" t="s">
        <v>12</v>
      </c>
      <c r="W1" s="1"/>
      <c r="X1" s="1"/>
      <c r="Y1" s="5" t="s">
        <v>13</v>
      </c>
      <c r="Z1" s="5"/>
    </row>
    <row r="2" spans="1:26" s="33" customFormat="1" ht="28.05" customHeight="1" x14ac:dyDescent="0.25">
      <c r="A2" s="6"/>
      <c r="B2" s="25" t="s">
        <v>14</v>
      </c>
      <c r="C2" s="26" t="s">
        <v>15</v>
      </c>
      <c r="D2" s="27" t="s">
        <v>16</v>
      </c>
      <c r="E2" s="25" t="s">
        <v>17</v>
      </c>
      <c r="F2" s="27" t="s">
        <v>18</v>
      </c>
      <c r="G2" s="25" t="s">
        <v>17</v>
      </c>
      <c r="H2" s="27" t="s">
        <v>18</v>
      </c>
      <c r="I2" s="28" t="s">
        <v>19</v>
      </c>
      <c r="J2" s="29" t="s">
        <v>20</v>
      </c>
      <c r="K2" s="3"/>
      <c r="L2" s="25" t="s">
        <v>21</v>
      </c>
      <c r="M2" s="27" t="s">
        <v>22</v>
      </c>
      <c r="N2" s="25" t="s">
        <v>18</v>
      </c>
      <c r="O2" s="27" t="s">
        <v>23</v>
      </c>
      <c r="P2" s="25" t="s">
        <v>18</v>
      </c>
      <c r="Q2" s="27" t="s">
        <v>23</v>
      </c>
      <c r="R2" s="30" t="s">
        <v>22</v>
      </c>
      <c r="S2" s="31" t="s">
        <v>24</v>
      </c>
      <c r="T2" s="6"/>
      <c r="U2" s="6"/>
      <c r="V2" s="32" t="s">
        <v>25</v>
      </c>
      <c r="W2" s="26" t="s">
        <v>22</v>
      </c>
      <c r="X2" s="27" t="s">
        <v>24</v>
      </c>
      <c r="Y2" s="25" t="s">
        <v>21</v>
      </c>
      <c r="Z2" s="27" t="s">
        <v>22</v>
      </c>
    </row>
    <row r="3" spans="1:26" x14ac:dyDescent="0.25">
      <c r="C3" s="9" t="e">
        <f>LOOKUP($B3,Aircrafts!$A$2:$A$1048576,Aircrafts!$B$2:$B$1048576)</f>
        <v>#N/A</v>
      </c>
      <c r="D3" s="10" t="e">
        <f>LOOKUP($B3,Aircrafts!$A$2:$A$1048576,Aircrafts!$C$2:$C$1048576)</f>
        <v>#N/A</v>
      </c>
      <c r="F3" s="10" t="e">
        <f>LOOKUP($E3,Aerodromes!$A$2:$A$1048576,Aerodromes!$B$2:$B$1048576)</f>
        <v>#N/A</v>
      </c>
      <c r="H3" s="10" t="e">
        <f>LOOKUP($G3,Aerodromes!$A$2:$A$1048576,Aerodromes!$B$2:$B$1048576)</f>
        <v>#N/A</v>
      </c>
      <c r="K3" s="13">
        <f t="shared" ref="K3:K66" si="0">IF($J3&gt;=$I3,$J3-$I3,1+$J3-$I3)</f>
        <v>0</v>
      </c>
      <c r="V3" s="34">
        <f>SUBTOTAL(9,$K$3:$K3)</f>
        <v>0</v>
      </c>
      <c r="W3" s="35">
        <f>SUBTOTAL(9,$R$3:$R3)</f>
        <v>0</v>
      </c>
      <c r="X3" s="36">
        <f>SUBTOTAL(9,$S$3:$S3)</f>
        <v>0</v>
      </c>
      <c r="Y3" s="23">
        <f>SUBTOTAL(9,$L$3:$L3)</f>
        <v>0</v>
      </c>
      <c r="Z3" s="10">
        <f>SUBTOTAL(9,$M$3:$M3)</f>
        <v>0</v>
      </c>
    </row>
    <row r="4" spans="1:26" x14ac:dyDescent="0.25">
      <c r="C4" s="9" t="e">
        <f>LOOKUP($B4,Aircrafts!$A$2:$A$1048576,Aircrafts!$B$2:$B$1048576)</f>
        <v>#N/A</v>
      </c>
      <c r="D4" s="10" t="e">
        <f>LOOKUP($B4,Aircrafts!$A$2:$A$1048576,Aircrafts!$C$2:$C$1048576)</f>
        <v>#N/A</v>
      </c>
      <c r="F4" s="10" t="e">
        <f>LOOKUP($E4,Aerodromes!$A$2:$A$1048576,Aerodromes!$B$2:$B$1048576)</f>
        <v>#N/A</v>
      </c>
      <c r="H4" s="10" t="e">
        <f>LOOKUP($G4,Aerodromes!$A$2:$A$1048576,Aerodromes!$B$2:$B$1048576)</f>
        <v>#N/A</v>
      </c>
      <c r="K4" s="13">
        <f t="shared" si="0"/>
        <v>0</v>
      </c>
      <c r="V4" s="34">
        <f>SUBTOTAL(9,$K$3:$K4)</f>
        <v>0</v>
      </c>
      <c r="W4" s="35">
        <f>SUBTOTAL(9,$R$3:$R4)</f>
        <v>0</v>
      </c>
      <c r="X4" s="36">
        <f>SUBTOTAL(9,$S$3:$S4)</f>
        <v>0</v>
      </c>
      <c r="Y4" s="23">
        <f>SUBTOTAL(9,$L$3:$L4)</f>
        <v>0</v>
      </c>
      <c r="Z4" s="10">
        <f>SUBTOTAL(9,$M$3:$M4)</f>
        <v>0</v>
      </c>
    </row>
    <row r="5" spans="1:26" x14ac:dyDescent="0.25">
      <c r="C5" s="9" t="e">
        <f>LOOKUP($B5,Aircrafts!$A$2:$A$1048576,Aircrafts!$B$2:$B$1048576)</f>
        <v>#N/A</v>
      </c>
      <c r="D5" s="10" t="e">
        <f>LOOKUP($B5,Aircrafts!$A$2:$A$1048576,Aircrafts!$C$2:$C$1048576)</f>
        <v>#N/A</v>
      </c>
      <c r="F5" s="10" t="e">
        <f>LOOKUP($E5,Aerodromes!$A$2:$A$1048576,Aerodromes!$B$2:$B$1048576)</f>
        <v>#N/A</v>
      </c>
      <c r="H5" s="10" t="e">
        <f>LOOKUP($G5,Aerodromes!$A$2:$A$1048576,Aerodromes!$B$2:$B$1048576)</f>
        <v>#N/A</v>
      </c>
      <c r="K5" s="13">
        <f t="shared" si="0"/>
        <v>0</v>
      </c>
      <c r="V5" s="34">
        <f>SUBTOTAL(9,$K$3:$K5)</f>
        <v>0</v>
      </c>
      <c r="W5" s="35">
        <f>SUBTOTAL(9,$R$3:$R5)</f>
        <v>0</v>
      </c>
      <c r="X5" s="36">
        <f>SUBTOTAL(9,$S$3:$S5)</f>
        <v>0</v>
      </c>
      <c r="Y5" s="23">
        <f>SUBTOTAL(9,$L$3:$L5)</f>
        <v>0</v>
      </c>
      <c r="Z5" s="10">
        <f>SUBTOTAL(9,$M$3:$M5)</f>
        <v>0</v>
      </c>
    </row>
    <row r="6" spans="1:26" x14ac:dyDescent="0.25">
      <c r="C6" s="9" t="e">
        <f>LOOKUP($B6,Aircrafts!$A$2:$A$1048576,Aircrafts!$B$2:$B$1048576)</f>
        <v>#N/A</v>
      </c>
      <c r="D6" s="10" t="e">
        <f>LOOKUP($B6,Aircrafts!$A$2:$A$1048576,Aircrafts!$C$2:$C$1048576)</f>
        <v>#N/A</v>
      </c>
      <c r="F6" s="10" t="e">
        <f>LOOKUP($E6,Aerodromes!$A$2:$A$1048576,Aerodromes!$B$2:$B$1048576)</f>
        <v>#N/A</v>
      </c>
      <c r="H6" s="10" t="e">
        <f>LOOKUP($G6,Aerodromes!$A$2:$A$1048576,Aerodromes!$B$2:$B$1048576)</f>
        <v>#N/A</v>
      </c>
      <c r="K6" s="13">
        <f t="shared" si="0"/>
        <v>0</v>
      </c>
      <c r="V6" s="34">
        <f>SUBTOTAL(9,$K$3:$K6)</f>
        <v>0</v>
      </c>
      <c r="W6" s="35">
        <f>SUBTOTAL(9,$R$3:$R6)</f>
        <v>0</v>
      </c>
      <c r="X6" s="36">
        <f>SUBTOTAL(9,$S$3:$S6)</f>
        <v>0</v>
      </c>
      <c r="Y6" s="23">
        <f>SUBTOTAL(9,$L$3:$L6)</f>
        <v>0</v>
      </c>
      <c r="Z6" s="10">
        <f>SUBTOTAL(9,$M$3:$M6)</f>
        <v>0</v>
      </c>
    </row>
    <row r="7" spans="1:26" x14ac:dyDescent="0.25">
      <c r="C7" s="9" t="e">
        <f>LOOKUP($B7,Aircrafts!$A$2:$A$1048576,Aircrafts!$B$2:$B$1048576)</f>
        <v>#N/A</v>
      </c>
      <c r="D7" s="10" t="e">
        <f>LOOKUP($B7,Aircrafts!$A$2:$A$1048576,Aircrafts!$C$2:$C$1048576)</f>
        <v>#N/A</v>
      </c>
      <c r="F7" s="10" t="e">
        <f>LOOKUP($E7,Aerodromes!$A$2:$A$1048576,Aerodromes!$B$2:$B$1048576)</f>
        <v>#N/A</v>
      </c>
      <c r="H7" s="10" t="e">
        <f>LOOKUP($G7,Aerodromes!$A$2:$A$1048576,Aerodromes!$B$2:$B$1048576)</f>
        <v>#N/A</v>
      </c>
      <c r="K7" s="13">
        <f t="shared" si="0"/>
        <v>0</v>
      </c>
      <c r="V7" s="34">
        <f>SUBTOTAL(9,$K$3:$K7)</f>
        <v>0</v>
      </c>
      <c r="W7" s="35">
        <f>SUBTOTAL(9,$R$3:$R7)</f>
        <v>0</v>
      </c>
      <c r="X7" s="36">
        <f>SUBTOTAL(9,$S$3:$S7)</f>
        <v>0</v>
      </c>
      <c r="Y7" s="23">
        <f>SUBTOTAL(9,$L$3:$L7)</f>
        <v>0</v>
      </c>
      <c r="Z7" s="10">
        <f>SUBTOTAL(9,$M$3:$M7)</f>
        <v>0</v>
      </c>
    </row>
    <row r="8" spans="1:26" x14ac:dyDescent="0.25">
      <c r="C8" s="9" t="e">
        <f>LOOKUP($B8,Aircrafts!$A$2:$A$1048576,Aircrafts!$B$2:$B$1048576)</f>
        <v>#N/A</v>
      </c>
      <c r="D8" s="10" t="e">
        <f>LOOKUP($B8,Aircrafts!$A$2:$A$1048576,Aircrafts!$C$2:$C$1048576)</f>
        <v>#N/A</v>
      </c>
      <c r="F8" s="10" t="e">
        <f>LOOKUP($E8,Aerodromes!$A$2:$A$1048576,Aerodromes!$B$2:$B$1048576)</f>
        <v>#N/A</v>
      </c>
      <c r="H8" s="10" t="e">
        <f>LOOKUP($G8,Aerodromes!$A$2:$A$1048576,Aerodromes!$B$2:$B$1048576)</f>
        <v>#N/A</v>
      </c>
      <c r="K8" s="13">
        <f t="shared" si="0"/>
        <v>0</v>
      </c>
      <c r="V8" s="34">
        <f>SUBTOTAL(9,$K$3:$K8)</f>
        <v>0</v>
      </c>
      <c r="W8" s="35">
        <f>SUBTOTAL(9,$R$3:$R8)</f>
        <v>0</v>
      </c>
      <c r="X8" s="36">
        <f>SUBTOTAL(9,$S$3:$S8)</f>
        <v>0</v>
      </c>
      <c r="Y8" s="23">
        <f>SUBTOTAL(9,$L$3:$L8)</f>
        <v>0</v>
      </c>
      <c r="Z8" s="10">
        <f>SUBTOTAL(9,$M$3:$M8)</f>
        <v>0</v>
      </c>
    </row>
    <row r="9" spans="1:26" x14ac:dyDescent="0.25">
      <c r="C9" s="9" t="e">
        <f>LOOKUP($B9,Aircrafts!$A$2:$A$1048576,Aircrafts!$B$2:$B$1048576)</f>
        <v>#N/A</v>
      </c>
      <c r="D9" s="10" t="e">
        <f>LOOKUP($B9,Aircrafts!$A$2:$A$1048576,Aircrafts!$C$2:$C$1048576)</f>
        <v>#N/A</v>
      </c>
      <c r="F9" s="10" t="e">
        <f>LOOKUP($E9,Aerodromes!$A$2:$A$1048576,Aerodromes!$B$2:$B$1048576)</f>
        <v>#N/A</v>
      </c>
      <c r="H9" s="10" t="e">
        <f>LOOKUP($G9,Aerodromes!$A$2:$A$1048576,Aerodromes!$B$2:$B$1048576)</f>
        <v>#N/A</v>
      </c>
      <c r="K9" s="13">
        <f t="shared" si="0"/>
        <v>0</v>
      </c>
      <c r="V9" s="34">
        <f>SUBTOTAL(9,$K$3:$K9)</f>
        <v>0</v>
      </c>
      <c r="W9" s="35">
        <f>SUBTOTAL(9,$R$3:$R9)</f>
        <v>0</v>
      </c>
      <c r="X9" s="36">
        <f>SUBTOTAL(9,$S$3:$S9)</f>
        <v>0</v>
      </c>
      <c r="Y9" s="23">
        <f>SUBTOTAL(9,$L$3:$L9)</f>
        <v>0</v>
      </c>
      <c r="Z9" s="10">
        <f>SUBTOTAL(9,$M$3:$M9)</f>
        <v>0</v>
      </c>
    </row>
    <row r="10" spans="1:26" x14ac:dyDescent="0.25">
      <c r="C10" s="9" t="e">
        <f>LOOKUP($B10,Aircrafts!$A$2:$A$1048576,Aircrafts!$B$2:$B$1048576)</f>
        <v>#N/A</v>
      </c>
      <c r="D10" s="10" t="e">
        <f>LOOKUP($B10,Aircrafts!$A$2:$A$1048576,Aircrafts!$C$2:$C$1048576)</f>
        <v>#N/A</v>
      </c>
      <c r="F10" s="10" t="e">
        <f>LOOKUP($E10,Aerodromes!$A$2:$A$1048576,Aerodromes!$B$2:$B$1048576)</f>
        <v>#N/A</v>
      </c>
      <c r="H10" s="10" t="e">
        <f>LOOKUP($G10,Aerodromes!$A$2:$A$1048576,Aerodromes!$B$2:$B$1048576)</f>
        <v>#N/A</v>
      </c>
      <c r="K10" s="13">
        <f t="shared" si="0"/>
        <v>0</v>
      </c>
      <c r="V10" s="34">
        <f>SUBTOTAL(9,$K$3:$K10)</f>
        <v>0</v>
      </c>
      <c r="W10" s="35">
        <f>SUBTOTAL(9,$R$3:$R10)</f>
        <v>0</v>
      </c>
      <c r="X10" s="36">
        <f>SUBTOTAL(9,$S$3:$S10)</f>
        <v>0</v>
      </c>
      <c r="Y10" s="23">
        <f>SUBTOTAL(9,$L$3:$L10)</f>
        <v>0</v>
      </c>
      <c r="Z10" s="10">
        <f>SUBTOTAL(9,$M$3:$M10)</f>
        <v>0</v>
      </c>
    </row>
    <row r="11" spans="1:26" x14ac:dyDescent="0.25">
      <c r="C11" s="9" t="e">
        <f>LOOKUP($B11,Aircrafts!$A$2:$A$1048576,Aircrafts!$B$2:$B$1048576)</f>
        <v>#N/A</v>
      </c>
      <c r="D11" s="10" t="e">
        <f>LOOKUP($B11,Aircrafts!$A$2:$A$1048576,Aircrafts!$C$2:$C$1048576)</f>
        <v>#N/A</v>
      </c>
      <c r="F11" s="10" t="e">
        <f>LOOKUP($E11,Aerodromes!$A$2:$A$1048576,Aerodromes!$B$2:$B$1048576)</f>
        <v>#N/A</v>
      </c>
      <c r="H11" s="10" t="e">
        <f>LOOKUP($G11,Aerodromes!$A$2:$A$1048576,Aerodromes!$B$2:$B$1048576)</f>
        <v>#N/A</v>
      </c>
      <c r="K11" s="13">
        <f t="shared" si="0"/>
        <v>0</v>
      </c>
      <c r="V11" s="34">
        <f>SUBTOTAL(9,$K$3:$K11)</f>
        <v>0</v>
      </c>
      <c r="W11" s="35">
        <f>SUBTOTAL(9,$R$3:$R11)</f>
        <v>0</v>
      </c>
      <c r="X11" s="36">
        <f>SUBTOTAL(9,$S$3:$S11)</f>
        <v>0</v>
      </c>
      <c r="Y11" s="23">
        <f>SUBTOTAL(9,$L$3:$L11)</f>
        <v>0</v>
      </c>
      <c r="Z11" s="10">
        <f>SUBTOTAL(9,$M$3:$M11)</f>
        <v>0</v>
      </c>
    </row>
    <row r="12" spans="1:26" x14ac:dyDescent="0.25">
      <c r="C12" s="9" t="e">
        <f>LOOKUP($B12,Aircrafts!$A$2:$A$1048576,Aircrafts!$B$2:$B$1048576)</f>
        <v>#N/A</v>
      </c>
      <c r="D12" s="10" t="e">
        <f>LOOKUP($B12,Aircrafts!$A$2:$A$1048576,Aircrafts!$C$2:$C$1048576)</f>
        <v>#N/A</v>
      </c>
      <c r="F12" s="10" t="e">
        <f>LOOKUP($E12,Aerodromes!$A$2:$A$1048576,Aerodromes!$B$2:$B$1048576)</f>
        <v>#N/A</v>
      </c>
      <c r="H12" s="10" t="e">
        <f>LOOKUP($G12,Aerodromes!$A$2:$A$1048576,Aerodromes!$B$2:$B$1048576)</f>
        <v>#N/A</v>
      </c>
      <c r="K12" s="13">
        <f t="shared" si="0"/>
        <v>0</v>
      </c>
      <c r="V12" s="34">
        <f>SUBTOTAL(9,$K$3:$K12)</f>
        <v>0</v>
      </c>
      <c r="W12" s="35">
        <f>SUBTOTAL(9,$R$3:$R12)</f>
        <v>0</v>
      </c>
      <c r="X12" s="36">
        <f>SUBTOTAL(9,$S$3:$S12)</f>
        <v>0</v>
      </c>
      <c r="Y12" s="23">
        <f>SUBTOTAL(9,$L$3:$L12)</f>
        <v>0</v>
      </c>
      <c r="Z12" s="10">
        <f>SUBTOTAL(9,$M$3:$M12)</f>
        <v>0</v>
      </c>
    </row>
    <row r="13" spans="1:26" x14ac:dyDescent="0.25">
      <c r="C13" s="9" t="e">
        <f>LOOKUP($B13,Aircrafts!$A$2:$A$1048576,Aircrafts!$B$2:$B$1048576)</f>
        <v>#N/A</v>
      </c>
      <c r="D13" s="10" t="e">
        <f>LOOKUP($B13,Aircrafts!$A$2:$A$1048576,Aircrafts!$C$2:$C$1048576)</f>
        <v>#N/A</v>
      </c>
      <c r="F13" s="10" t="e">
        <f>LOOKUP($E13,Aerodromes!$A$2:$A$1048576,Aerodromes!$B$2:$B$1048576)</f>
        <v>#N/A</v>
      </c>
      <c r="H13" s="10" t="e">
        <f>LOOKUP($G13,Aerodromes!$A$2:$A$1048576,Aerodromes!$B$2:$B$1048576)</f>
        <v>#N/A</v>
      </c>
      <c r="K13" s="13">
        <f t="shared" si="0"/>
        <v>0</v>
      </c>
      <c r="V13" s="34">
        <f>SUBTOTAL(9,$K$3:$K13)</f>
        <v>0</v>
      </c>
      <c r="W13" s="35">
        <f>SUBTOTAL(9,$R$3:$R13)</f>
        <v>0</v>
      </c>
      <c r="X13" s="36">
        <f>SUBTOTAL(9,$S$3:$S13)</f>
        <v>0</v>
      </c>
      <c r="Y13" s="23">
        <f>SUBTOTAL(9,$L$3:$L13)</f>
        <v>0</v>
      </c>
      <c r="Z13" s="10">
        <f>SUBTOTAL(9,$M$3:$M13)</f>
        <v>0</v>
      </c>
    </row>
    <row r="14" spans="1:26" x14ac:dyDescent="0.25">
      <c r="C14" s="9" t="e">
        <f>LOOKUP($B14,Aircrafts!$A$2:$A$1048576,Aircrafts!$B$2:$B$1048576)</f>
        <v>#N/A</v>
      </c>
      <c r="D14" s="10" t="e">
        <f>LOOKUP($B14,Aircrafts!$A$2:$A$1048576,Aircrafts!$C$2:$C$1048576)</f>
        <v>#N/A</v>
      </c>
      <c r="F14" s="10" t="e">
        <f>LOOKUP($E14,Aerodromes!$A$2:$A$1048576,Aerodromes!$B$2:$B$1048576)</f>
        <v>#N/A</v>
      </c>
      <c r="H14" s="10" t="e">
        <f>LOOKUP($G14,Aerodromes!$A$2:$A$1048576,Aerodromes!$B$2:$B$1048576)</f>
        <v>#N/A</v>
      </c>
      <c r="K14" s="13">
        <f t="shared" si="0"/>
        <v>0</v>
      </c>
      <c r="V14" s="34">
        <f>SUBTOTAL(9,$K$3:$K14)</f>
        <v>0</v>
      </c>
      <c r="W14" s="35">
        <f>SUBTOTAL(9,$R$3:$R14)</f>
        <v>0</v>
      </c>
      <c r="X14" s="36">
        <f>SUBTOTAL(9,$S$3:$S14)</f>
        <v>0</v>
      </c>
      <c r="Y14" s="23">
        <f>SUBTOTAL(9,$L$3:$L14)</f>
        <v>0</v>
      </c>
      <c r="Z14" s="10">
        <f>SUBTOTAL(9,$M$3:$M14)</f>
        <v>0</v>
      </c>
    </row>
    <row r="15" spans="1:26" x14ac:dyDescent="0.25">
      <c r="C15" s="9" t="e">
        <f>LOOKUP($B15,Aircrafts!$A$2:$A$1048576,Aircrafts!$B$2:$B$1048576)</f>
        <v>#N/A</v>
      </c>
      <c r="D15" s="10" t="e">
        <f>LOOKUP($B15,Aircrafts!$A$2:$A$1048576,Aircrafts!$C$2:$C$1048576)</f>
        <v>#N/A</v>
      </c>
      <c r="F15" s="10" t="e">
        <f>LOOKUP($E15,Aerodromes!$A$2:$A$1048576,Aerodromes!$B$2:$B$1048576)</f>
        <v>#N/A</v>
      </c>
      <c r="H15" s="10" t="e">
        <f>LOOKUP($G15,Aerodromes!$A$2:$A$1048576,Aerodromes!$B$2:$B$1048576)</f>
        <v>#N/A</v>
      </c>
      <c r="K15" s="13">
        <f t="shared" si="0"/>
        <v>0</v>
      </c>
      <c r="V15" s="34">
        <f>SUBTOTAL(9,$K$3:$K15)</f>
        <v>0</v>
      </c>
      <c r="W15" s="35">
        <f>SUBTOTAL(9,$R$3:$R15)</f>
        <v>0</v>
      </c>
      <c r="X15" s="36">
        <f>SUBTOTAL(9,$S$3:$S15)</f>
        <v>0</v>
      </c>
      <c r="Y15" s="23">
        <f>SUBTOTAL(9,$L$3:$L15)</f>
        <v>0</v>
      </c>
      <c r="Z15" s="10">
        <f>SUBTOTAL(9,$M$3:$M15)</f>
        <v>0</v>
      </c>
    </row>
    <row r="16" spans="1:26" x14ac:dyDescent="0.25">
      <c r="C16" s="9" t="e">
        <f>LOOKUP($B16,Aircrafts!$A$2:$A$1048576,Aircrafts!$B$2:$B$1048576)</f>
        <v>#N/A</v>
      </c>
      <c r="D16" s="10" t="e">
        <f>LOOKUP($B16,Aircrafts!$A$2:$A$1048576,Aircrafts!$C$2:$C$1048576)</f>
        <v>#N/A</v>
      </c>
      <c r="F16" s="10" t="e">
        <f>LOOKUP($E16,Aerodromes!$A$2:$A$1048576,Aerodromes!$B$2:$B$1048576)</f>
        <v>#N/A</v>
      </c>
      <c r="H16" s="10" t="e">
        <f>LOOKUP($G16,Aerodromes!$A$2:$A$1048576,Aerodromes!$B$2:$B$1048576)</f>
        <v>#N/A</v>
      </c>
      <c r="K16" s="13">
        <f t="shared" si="0"/>
        <v>0</v>
      </c>
      <c r="V16" s="34">
        <f>SUBTOTAL(9,$K$3:$K16)</f>
        <v>0</v>
      </c>
      <c r="W16" s="35">
        <f>SUBTOTAL(9,$R$3:$R16)</f>
        <v>0</v>
      </c>
      <c r="X16" s="36">
        <f>SUBTOTAL(9,$S$3:$S16)</f>
        <v>0</v>
      </c>
      <c r="Y16" s="23">
        <f>SUBTOTAL(9,$L$3:$L16)</f>
        <v>0</v>
      </c>
      <c r="Z16" s="10">
        <f>SUBTOTAL(9,$M$3:$M16)</f>
        <v>0</v>
      </c>
    </row>
    <row r="17" spans="3:26" x14ac:dyDescent="0.25">
      <c r="C17" s="9" t="e">
        <f>LOOKUP($B17,Aircrafts!$A$2:$A$1048576,Aircrafts!$B$2:$B$1048576)</f>
        <v>#N/A</v>
      </c>
      <c r="D17" s="10" t="e">
        <f>LOOKUP($B17,Aircrafts!$A$2:$A$1048576,Aircrafts!$C$2:$C$1048576)</f>
        <v>#N/A</v>
      </c>
      <c r="F17" s="10" t="e">
        <f>LOOKUP($E17,Aerodromes!$A$2:$A$1048576,Aerodromes!$B$2:$B$1048576)</f>
        <v>#N/A</v>
      </c>
      <c r="H17" s="10" t="e">
        <f>LOOKUP($G17,Aerodromes!$A$2:$A$1048576,Aerodromes!$B$2:$B$1048576)</f>
        <v>#N/A</v>
      </c>
      <c r="K17" s="13">
        <f t="shared" si="0"/>
        <v>0</v>
      </c>
      <c r="V17" s="34">
        <f>SUBTOTAL(9,$K$3:$K17)</f>
        <v>0</v>
      </c>
      <c r="W17" s="35">
        <f>SUBTOTAL(9,$R$3:$R17)</f>
        <v>0</v>
      </c>
      <c r="X17" s="36">
        <f>SUBTOTAL(9,$S$3:$S17)</f>
        <v>0</v>
      </c>
      <c r="Y17" s="23">
        <f>SUBTOTAL(9,$L$3:$L17)</f>
        <v>0</v>
      </c>
      <c r="Z17" s="10">
        <f>SUBTOTAL(9,$M$3:$M17)</f>
        <v>0</v>
      </c>
    </row>
    <row r="18" spans="3:26" x14ac:dyDescent="0.25">
      <c r="C18" s="9" t="e">
        <f>LOOKUP($B18,Aircrafts!$A$2:$A$1048576,Aircrafts!$B$2:$B$1048576)</f>
        <v>#N/A</v>
      </c>
      <c r="D18" s="10" t="e">
        <f>LOOKUP($B18,Aircrafts!$A$2:$A$1048576,Aircrafts!$C$2:$C$1048576)</f>
        <v>#N/A</v>
      </c>
      <c r="F18" s="10" t="e">
        <f>LOOKUP($E18,Aerodromes!$A$2:$A$1048576,Aerodromes!$B$2:$B$1048576)</f>
        <v>#N/A</v>
      </c>
      <c r="H18" s="10" t="e">
        <f>LOOKUP($G18,Aerodromes!$A$2:$A$1048576,Aerodromes!$B$2:$B$1048576)</f>
        <v>#N/A</v>
      </c>
      <c r="K18" s="13">
        <f t="shared" si="0"/>
        <v>0</v>
      </c>
      <c r="V18" s="34">
        <f>SUBTOTAL(9,$K$3:$K18)</f>
        <v>0</v>
      </c>
      <c r="W18" s="35">
        <f>SUBTOTAL(9,$R$3:$R18)</f>
        <v>0</v>
      </c>
      <c r="X18" s="36">
        <f>SUBTOTAL(9,$S$3:$S18)</f>
        <v>0</v>
      </c>
      <c r="Y18" s="23">
        <f>SUBTOTAL(9,$L$3:$L18)</f>
        <v>0</v>
      </c>
      <c r="Z18" s="10">
        <f>SUBTOTAL(9,$M$3:$M18)</f>
        <v>0</v>
      </c>
    </row>
    <row r="19" spans="3:26" x14ac:dyDescent="0.25">
      <c r="C19" s="9" t="e">
        <f>LOOKUP($B19,Aircrafts!$A$2:$A$1048576,Aircrafts!$B$2:$B$1048576)</f>
        <v>#N/A</v>
      </c>
      <c r="D19" s="10" t="e">
        <f>LOOKUP($B19,Aircrafts!$A$2:$A$1048576,Aircrafts!$C$2:$C$1048576)</f>
        <v>#N/A</v>
      </c>
      <c r="F19" s="10" t="e">
        <f>LOOKUP($E19,Aerodromes!$A$2:$A$1048576,Aerodromes!$B$2:$B$1048576)</f>
        <v>#N/A</v>
      </c>
      <c r="H19" s="10" t="e">
        <f>LOOKUP($G19,Aerodromes!$A$2:$A$1048576,Aerodromes!$B$2:$B$1048576)</f>
        <v>#N/A</v>
      </c>
      <c r="K19" s="13">
        <f t="shared" si="0"/>
        <v>0</v>
      </c>
      <c r="V19" s="34">
        <f>SUBTOTAL(9,$K$3:$K19)</f>
        <v>0</v>
      </c>
      <c r="W19" s="35">
        <f>SUBTOTAL(9,$R$3:$R19)</f>
        <v>0</v>
      </c>
      <c r="X19" s="36">
        <f>SUBTOTAL(9,$S$3:$S19)</f>
        <v>0</v>
      </c>
      <c r="Y19" s="23">
        <f>SUBTOTAL(9,$L$3:$L19)</f>
        <v>0</v>
      </c>
      <c r="Z19" s="10">
        <f>SUBTOTAL(9,$M$3:$M19)</f>
        <v>0</v>
      </c>
    </row>
    <row r="20" spans="3:26" x14ac:dyDescent="0.25">
      <c r="C20" s="9" t="e">
        <f>LOOKUP($B20,Aircrafts!$A$2:$A$1048576,Aircrafts!$B$2:$B$1048576)</f>
        <v>#N/A</v>
      </c>
      <c r="D20" s="10" t="e">
        <f>LOOKUP($B20,Aircrafts!$A$2:$A$1048576,Aircrafts!$C$2:$C$1048576)</f>
        <v>#N/A</v>
      </c>
      <c r="F20" s="10" t="e">
        <f>LOOKUP($E20,Aerodromes!$A$2:$A$1048576,Aerodromes!$B$2:$B$1048576)</f>
        <v>#N/A</v>
      </c>
      <c r="H20" s="10" t="e">
        <f>LOOKUP($G20,Aerodromes!$A$2:$A$1048576,Aerodromes!$B$2:$B$1048576)</f>
        <v>#N/A</v>
      </c>
      <c r="K20" s="13">
        <f t="shared" si="0"/>
        <v>0</v>
      </c>
      <c r="V20" s="34">
        <f>SUBTOTAL(9,$K$3:$K20)</f>
        <v>0</v>
      </c>
      <c r="W20" s="35">
        <f>SUBTOTAL(9,$R$3:$R20)</f>
        <v>0</v>
      </c>
      <c r="X20" s="36">
        <f>SUBTOTAL(9,$S$3:$S20)</f>
        <v>0</v>
      </c>
      <c r="Y20" s="23">
        <f>SUBTOTAL(9,$L$3:$L20)</f>
        <v>0</v>
      </c>
      <c r="Z20" s="10">
        <f>SUBTOTAL(9,$M$3:$M20)</f>
        <v>0</v>
      </c>
    </row>
    <row r="21" spans="3:26" x14ac:dyDescent="0.25">
      <c r="C21" s="9" t="e">
        <f>LOOKUP($B21,Aircrafts!$A$2:$A$1048576,Aircrafts!$B$2:$B$1048576)</f>
        <v>#N/A</v>
      </c>
      <c r="D21" s="10" t="e">
        <f>LOOKUP($B21,Aircrafts!$A$2:$A$1048576,Aircrafts!$C$2:$C$1048576)</f>
        <v>#N/A</v>
      </c>
      <c r="F21" s="10" t="e">
        <f>LOOKUP($E21,Aerodromes!$A$2:$A$1048576,Aerodromes!$B$2:$B$1048576)</f>
        <v>#N/A</v>
      </c>
      <c r="H21" s="10" t="e">
        <f>LOOKUP($G21,Aerodromes!$A$2:$A$1048576,Aerodromes!$B$2:$B$1048576)</f>
        <v>#N/A</v>
      </c>
      <c r="K21" s="13">
        <f t="shared" si="0"/>
        <v>0</v>
      </c>
      <c r="V21" s="34">
        <f>SUBTOTAL(9,$K$3:$K21)</f>
        <v>0</v>
      </c>
      <c r="W21" s="35">
        <f>SUBTOTAL(9,$R$3:$R21)</f>
        <v>0</v>
      </c>
      <c r="X21" s="36">
        <f>SUBTOTAL(9,$S$3:$S21)</f>
        <v>0</v>
      </c>
      <c r="Y21" s="23">
        <f>SUBTOTAL(9,$L$3:$L21)</f>
        <v>0</v>
      </c>
      <c r="Z21" s="10">
        <f>SUBTOTAL(9,$M$3:$M21)</f>
        <v>0</v>
      </c>
    </row>
    <row r="22" spans="3:26" x14ac:dyDescent="0.25">
      <c r="C22" s="9" t="e">
        <f>LOOKUP($B22,Aircrafts!$A$2:$A$1048576,Aircrafts!$B$2:$B$1048576)</f>
        <v>#N/A</v>
      </c>
      <c r="D22" s="10" t="e">
        <f>LOOKUP($B22,Aircrafts!$A$2:$A$1048576,Aircrafts!$C$2:$C$1048576)</f>
        <v>#N/A</v>
      </c>
      <c r="F22" s="10" t="e">
        <f>LOOKUP($E22,Aerodromes!$A$2:$A$1048576,Aerodromes!$B$2:$B$1048576)</f>
        <v>#N/A</v>
      </c>
      <c r="H22" s="10" t="e">
        <f>LOOKUP($G22,Aerodromes!$A$2:$A$1048576,Aerodromes!$B$2:$B$1048576)</f>
        <v>#N/A</v>
      </c>
      <c r="K22" s="13">
        <f t="shared" si="0"/>
        <v>0</v>
      </c>
      <c r="V22" s="34">
        <f>SUBTOTAL(9,$K$3:$K22)</f>
        <v>0</v>
      </c>
      <c r="W22" s="35">
        <f>SUBTOTAL(9,$R$3:$R22)</f>
        <v>0</v>
      </c>
      <c r="X22" s="36">
        <f>SUBTOTAL(9,$S$3:$S22)</f>
        <v>0</v>
      </c>
      <c r="Y22" s="23">
        <f>SUBTOTAL(9,$L$3:$L22)</f>
        <v>0</v>
      </c>
      <c r="Z22" s="10">
        <f>SUBTOTAL(9,$M$3:$M22)</f>
        <v>0</v>
      </c>
    </row>
    <row r="23" spans="3:26" x14ac:dyDescent="0.25">
      <c r="C23" s="9" t="e">
        <f>LOOKUP($B23,Aircrafts!$A$2:$A$1048576,Aircrafts!$B$2:$B$1048576)</f>
        <v>#N/A</v>
      </c>
      <c r="D23" s="10" t="e">
        <f>LOOKUP($B23,Aircrafts!$A$2:$A$1048576,Aircrafts!$C$2:$C$1048576)</f>
        <v>#N/A</v>
      </c>
      <c r="F23" s="10" t="e">
        <f>LOOKUP($E23,Aerodromes!$A$2:$A$1048576,Aerodromes!$B$2:$B$1048576)</f>
        <v>#N/A</v>
      </c>
      <c r="H23" s="10" t="e">
        <f>LOOKUP($G23,Aerodromes!$A$2:$A$1048576,Aerodromes!$B$2:$B$1048576)</f>
        <v>#N/A</v>
      </c>
      <c r="K23" s="13">
        <f t="shared" si="0"/>
        <v>0</v>
      </c>
      <c r="V23" s="34">
        <f>SUBTOTAL(9,$K$3:$K23)</f>
        <v>0</v>
      </c>
      <c r="W23" s="35">
        <f>SUBTOTAL(9,$R$3:$R23)</f>
        <v>0</v>
      </c>
      <c r="X23" s="36">
        <f>SUBTOTAL(9,$S$3:$S23)</f>
        <v>0</v>
      </c>
      <c r="Y23" s="23">
        <f>SUBTOTAL(9,$L$3:$L23)</f>
        <v>0</v>
      </c>
      <c r="Z23" s="10">
        <f>SUBTOTAL(9,$M$3:$M23)</f>
        <v>0</v>
      </c>
    </row>
    <row r="24" spans="3:26" x14ac:dyDescent="0.25">
      <c r="C24" s="9" t="e">
        <f>LOOKUP($B24,Aircrafts!$A$2:$A$1048576,Aircrafts!$B$2:$B$1048576)</f>
        <v>#N/A</v>
      </c>
      <c r="D24" s="10" t="e">
        <f>LOOKUP($B24,Aircrafts!$A$2:$A$1048576,Aircrafts!$C$2:$C$1048576)</f>
        <v>#N/A</v>
      </c>
      <c r="F24" s="10" t="e">
        <f>LOOKUP($E24,Aerodromes!$A$2:$A$1048576,Aerodromes!$B$2:$B$1048576)</f>
        <v>#N/A</v>
      </c>
      <c r="H24" s="10" t="e">
        <f>LOOKUP($G24,Aerodromes!$A$2:$A$1048576,Aerodromes!$B$2:$B$1048576)</f>
        <v>#N/A</v>
      </c>
      <c r="K24" s="13">
        <f t="shared" si="0"/>
        <v>0</v>
      </c>
      <c r="V24" s="34">
        <f>SUBTOTAL(9,$K$3:$K24)</f>
        <v>0</v>
      </c>
      <c r="W24" s="35">
        <f>SUBTOTAL(9,$R$3:$R24)</f>
        <v>0</v>
      </c>
      <c r="X24" s="36">
        <f>SUBTOTAL(9,$S$3:$S24)</f>
        <v>0</v>
      </c>
      <c r="Y24" s="23">
        <f>SUBTOTAL(9,$L$3:$L24)</f>
        <v>0</v>
      </c>
      <c r="Z24" s="10">
        <f>SUBTOTAL(9,$M$3:$M24)</f>
        <v>0</v>
      </c>
    </row>
    <row r="25" spans="3:26" x14ac:dyDescent="0.25">
      <c r="C25" s="9" t="e">
        <f>LOOKUP($B25,Aircrafts!$A$2:$A$1048576,Aircrafts!$B$2:$B$1048576)</f>
        <v>#N/A</v>
      </c>
      <c r="D25" s="10" t="e">
        <f>LOOKUP($B25,Aircrafts!$A$2:$A$1048576,Aircrafts!$C$2:$C$1048576)</f>
        <v>#N/A</v>
      </c>
      <c r="F25" s="10" t="e">
        <f>LOOKUP($E25,Aerodromes!$A$2:$A$1048576,Aerodromes!$B$2:$B$1048576)</f>
        <v>#N/A</v>
      </c>
      <c r="H25" s="10" t="e">
        <f>LOOKUP($G25,Aerodromes!$A$2:$A$1048576,Aerodromes!$B$2:$B$1048576)</f>
        <v>#N/A</v>
      </c>
      <c r="K25" s="13">
        <f t="shared" si="0"/>
        <v>0</v>
      </c>
      <c r="V25" s="34">
        <f>SUBTOTAL(9,$K$3:$K25)</f>
        <v>0</v>
      </c>
      <c r="W25" s="35">
        <f>SUBTOTAL(9,$R$3:$R25)</f>
        <v>0</v>
      </c>
      <c r="X25" s="36">
        <f>SUBTOTAL(9,$S$3:$S25)</f>
        <v>0</v>
      </c>
      <c r="Y25" s="23">
        <f>SUBTOTAL(9,$L$3:$L25)</f>
        <v>0</v>
      </c>
      <c r="Z25" s="10">
        <f>SUBTOTAL(9,$M$3:$M25)</f>
        <v>0</v>
      </c>
    </row>
    <row r="26" spans="3:26" x14ac:dyDescent="0.25">
      <c r="C26" s="9" t="e">
        <f>LOOKUP($B26,Aircrafts!$A$2:$A$1048576,Aircrafts!$B$2:$B$1048576)</f>
        <v>#N/A</v>
      </c>
      <c r="D26" s="10" t="e">
        <f>LOOKUP($B26,Aircrafts!$A$2:$A$1048576,Aircrafts!$C$2:$C$1048576)</f>
        <v>#N/A</v>
      </c>
      <c r="F26" s="10" t="e">
        <f>LOOKUP($E26,Aerodromes!$A$2:$A$1048576,Aerodromes!$B$2:$B$1048576)</f>
        <v>#N/A</v>
      </c>
      <c r="H26" s="10" t="e">
        <f>LOOKUP($G26,Aerodromes!$A$2:$A$1048576,Aerodromes!$B$2:$B$1048576)</f>
        <v>#N/A</v>
      </c>
      <c r="K26" s="13">
        <f t="shared" si="0"/>
        <v>0</v>
      </c>
      <c r="V26" s="34">
        <f>SUBTOTAL(9,$K$3:$K26)</f>
        <v>0</v>
      </c>
      <c r="W26" s="35">
        <f>SUBTOTAL(9,$R$3:$R26)</f>
        <v>0</v>
      </c>
      <c r="X26" s="36">
        <f>SUBTOTAL(9,$S$3:$S26)</f>
        <v>0</v>
      </c>
      <c r="Y26" s="23">
        <f>SUBTOTAL(9,$L$3:$L26)</f>
        <v>0</v>
      </c>
      <c r="Z26" s="10">
        <f>SUBTOTAL(9,$M$3:$M26)</f>
        <v>0</v>
      </c>
    </row>
    <row r="27" spans="3:26" x14ac:dyDescent="0.25">
      <c r="C27" s="9" t="e">
        <f>LOOKUP($B27,Aircrafts!$A$2:$A$1048576,Aircrafts!$B$2:$B$1048576)</f>
        <v>#N/A</v>
      </c>
      <c r="D27" s="10" t="e">
        <f>LOOKUP($B27,Aircrafts!$A$2:$A$1048576,Aircrafts!$C$2:$C$1048576)</f>
        <v>#N/A</v>
      </c>
      <c r="F27" s="10" t="e">
        <f>LOOKUP($E27,Aerodromes!$A$2:$A$1048576,Aerodromes!$B$2:$B$1048576)</f>
        <v>#N/A</v>
      </c>
      <c r="H27" s="10" t="e">
        <f>LOOKUP($G27,Aerodromes!$A$2:$A$1048576,Aerodromes!$B$2:$B$1048576)</f>
        <v>#N/A</v>
      </c>
      <c r="K27" s="13">
        <f t="shared" si="0"/>
        <v>0</v>
      </c>
      <c r="V27" s="34">
        <f>SUBTOTAL(9,$K$3:$K27)</f>
        <v>0</v>
      </c>
      <c r="W27" s="35">
        <f>SUBTOTAL(9,$R$3:$R27)</f>
        <v>0</v>
      </c>
      <c r="X27" s="36">
        <f>SUBTOTAL(9,$S$3:$S27)</f>
        <v>0</v>
      </c>
      <c r="Y27" s="23">
        <f>SUBTOTAL(9,$L$3:$L27)</f>
        <v>0</v>
      </c>
      <c r="Z27" s="10">
        <f>SUBTOTAL(9,$M$3:$M27)</f>
        <v>0</v>
      </c>
    </row>
    <row r="28" spans="3:26" x14ac:dyDescent="0.25">
      <c r="C28" s="9" t="e">
        <f>LOOKUP($B28,Aircrafts!$A$2:$A$1048576,Aircrafts!$B$2:$B$1048576)</f>
        <v>#N/A</v>
      </c>
      <c r="D28" s="10" t="e">
        <f>LOOKUP($B28,Aircrafts!$A$2:$A$1048576,Aircrafts!$C$2:$C$1048576)</f>
        <v>#N/A</v>
      </c>
      <c r="F28" s="10" t="e">
        <f>LOOKUP($E28,Aerodromes!$A$2:$A$1048576,Aerodromes!$B$2:$B$1048576)</f>
        <v>#N/A</v>
      </c>
      <c r="H28" s="10" t="e">
        <f>LOOKUP($G28,Aerodromes!$A$2:$A$1048576,Aerodromes!$B$2:$B$1048576)</f>
        <v>#N/A</v>
      </c>
      <c r="K28" s="13">
        <f t="shared" si="0"/>
        <v>0</v>
      </c>
      <c r="V28" s="34">
        <f>SUBTOTAL(9,$K$3:$K28)</f>
        <v>0</v>
      </c>
      <c r="W28" s="35">
        <f>SUBTOTAL(9,$R$3:$R28)</f>
        <v>0</v>
      </c>
      <c r="X28" s="36">
        <f>SUBTOTAL(9,$S$3:$S28)</f>
        <v>0</v>
      </c>
      <c r="Y28" s="23">
        <f>SUBTOTAL(9,$L$3:$L28)</f>
        <v>0</v>
      </c>
      <c r="Z28" s="10">
        <f>SUBTOTAL(9,$M$3:$M28)</f>
        <v>0</v>
      </c>
    </row>
    <row r="29" spans="3:26" x14ac:dyDescent="0.25">
      <c r="C29" s="9" t="e">
        <f>LOOKUP($B29,Aircrafts!$A$2:$A$1048576,Aircrafts!$B$2:$B$1048576)</f>
        <v>#N/A</v>
      </c>
      <c r="D29" s="10" t="e">
        <f>LOOKUP($B29,Aircrafts!$A$2:$A$1048576,Aircrafts!$C$2:$C$1048576)</f>
        <v>#N/A</v>
      </c>
      <c r="F29" s="10" t="e">
        <f>LOOKUP($E29,Aerodromes!$A$2:$A$1048576,Aerodromes!$B$2:$B$1048576)</f>
        <v>#N/A</v>
      </c>
      <c r="H29" s="10" t="e">
        <f>LOOKUP($G29,Aerodromes!$A$2:$A$1048576,Aerodromes!$B$2:$B$1048576)</f>
        <v>#N/A</v>
      </c>
      <c r="K29" s="13">
        <f t="shared" si="0"/>
        <v>0</v>
      </c>
      <c r="V29" s="34">
        <f>SUBTOTAL(9,$K$3:$K29)</f>
        <v>0</v>
      </c>
      <c r="W29" s="35">
        <f>SUBTOTAL(9,$R$3:$R29)</f>
        <v>0</v>
      </c>
      <c r="X29" s="36">
        <f>SUBTOTAL(9,$S$3:$S29)</f>
        <v>0</v>
      </c>
      <c r="Y29" s="23">
        <f>SUBTOTAL(9,$L$3:$L29)</f>
        <v>0</v>
      </c>
      <c r="Z29" s="10">
        <f>SUBTOTAL(9,$M$3:$M29)</f>
        <v>0</v>
      </c>
    </row>
    <row r="30" spans="3:26" x14ac:dyDescent="0.25">
      <c r="C30" s="9" t="e">
        <f>LOOKUP($B30,Aircrafts!$A$2:$A$1048576,Aircrafts!$B$2:$B$1048576)</f>
        <v>#N/A</v>
      </c>
      <c r="D30" s="10" t="e">
        <f>LOOKUP($B30,Aircrafts!$A$2:$A$1048576,Aircrafts!$C$2:$C$1048576)</f>
        <v>#N/A</v>
      </c>
      <c r="F30" s="10" t="e">
        <f>LOOKUP($E30,Aerodromes!$A$2:$A$1048576,Aerodromes!$B$2:$B$1048576)</f>
        <v>#N/A</v>
      </c>
      <c r="H30" s="10" t="e">
        <f>LOOKUP($G30,Aerodromes!$A$2:$A$1048576,Aerodromes!$B$2:$B$1048576)</f>
        <v>#N/A</v>
      </c>
      <c r="K30" s="13">
        <f t="shared" si="0"/>
        <v>0</v>
      </c>
      <c r="V30" s="34">
        <f>SUBTOTAL(9,$K$3:$K30)</f>
        <v>0</v>
      </c>
      <c r="W30" s="35">
        <f>SUBTOTAL(9,$R$3:$R30)</f>
        <v>0</v>
      </c>
      <c r="X30" s="36">
        <f>SUBTOTAL(9,$S$3:$S30)</f>
        <v>0</v>
      </c>
      <c r="Y30" s="23">
        <f>SUBTOTAL(9,$L$3:$L30)</f>
        <v>0</v>
      </c>
      <c r="Z30" s="10">
        <f>SUBTOTAL(9,$M$3:$M30)</f>
        <v>0</v>
      </c>
    </row>
    <row r="31" spans="3:26" x14ac:dyDescent="0.25">
      <c r="C31" s="9" t="e">
        <f>LOOKUP($B31,Aircrafts!$A$2:$A$1048576,Aircrafts!$B$2:$B$1048576)</f>
        <v>#N/A</v>
      </c>
      <c r="D31" s="10" t="e">
        <f>LOOKUP($B31,Aircrafts!$A$2:$A$1048576,Aircrafts!$C$2:$C$1048576)</f>
        <v>#N/A</v>
      </c>
      <c r="F31" s="10" t="e">
        <f>LOOKUP($E31,Aerodromes!$A$2:$A$1048576,Aerodromes!$B$2:$B$1048576)</f>
        <v>#N/A</v>
      </c>
      <c r="H31" s="10" t="e">
        <f>LOOKUP($G31,Aerodromes!$A$2:$A$1048576,Aerodromes!$B$2:$B$1048576)</f>
        <v>#N/A</v>
      </c>
      <c r="K31" s="13">
        <f t="shared" si="0"/>
        <v>0</v>
      </c>
      <c r="V31" s="34">
        <f>SUBTOTAL(9,$K$3:$K31)</f>
        <v>0</v>
      </c>
      <c r="W31" s="35">
        <f>SUBTOTAL(9,$R$3:$R31)</f>
        <v>0</v>
      </c>
      <c r="X31" s="36">
        <f>SUBTOTAL(9,$S$3:$S31)</f>
        <v>0</v>
      </c>
      <c r="Y31" s="23">
        <f>SUBTOTAL(9,$L$3:$L31)</f>
        <v>0</v>
      </c>
      <c r="Z31" s="10">
        <f>SUBTOTAL(9,$M$3:$M31)</f>
        <v>0</v>
      </c>
    </row>
    <row r="32" spans="3:26" x14ac:dyDescent="0.25">
      <c r="C32" s="9" t="e">
        <f>LOOKUP($B32,Aircrafts!$A$2:$A$1048576,Aircrafts!$B$2:$B$1048576)</f>
        <v>#N/A</v>
      </c>
      <c r="D32" s="10" t="e">
        <f>LOOKUP($B32,Aircrafts!$A$2:$A$1048576,Aircrafts!$C$2:$C$1048576)</f>
        <v>#N/A</v>
      </c>
      <c r="F32" s="10" t="e">
        <f>LOOKUP($E32,Aerodromes!$A$2:$A$1048576,Aerodromes!$B$2:$B$1048576)</f>
        <v>#N/A</v>
      </c>
      <c r="H32" s="10" t="e">
        <f>LOOKUP($G32,Aerodromes!$A$2:$A$1048576,Aerodromes!$B$2:$B$1048576)</f>
        <v>#N/A</v>
      </c>
      <c r="K32" s="13">
        <f t="shared" si="0"/>
        <v>0</v>
      </c>
      <c r="V32" s="34">
        <f>SUBTOTAL(9,$K$3:$K32)</f>
        <v>0</v>
      </c>
      <c r="W32" s="35">
        <f>SUBTOTAL(9,$R$3:$R32)</f>
        <v>0</v>
      </c>
      <c r="X32" s="36">
        <f>SUBTOTAL(9,$S$3:$S32)</f>
        <v>0</v>
      </c>
      <c r="Y32" s="23">
        <f>SUBTOTAL(9,$L$3:$L32)</f>
        <v>0</v>
      </c>
      <c r="Z32" s="10">
        <f>SUBTOTAL(9,$M$3:$M32)</f>
        <v>0</v>
      </c>
    </row>
    <row r="33" spans="3:26" x14ac:dyDescent="0.25">
      <c r="C33" s="9" t="e">
        <f>LOOKUP($B33,Aircrafts!$A$2:$A$1048576,Aircrafts!$B$2:$B$1048576)</f>
        <v>#N/A</v>
      </c>
      <c r="D33" s="10" t="e">
        <f>LOOKUP($B33,Aircrafts!$A$2:$A$1048576,Aircrafts!$C$2:$C$1048576)</f>
        <v>#N/A</v>
      </c>
      <c r="F33" s="10" t="e">
        <f>LOOKUP($E33,Aerodromes!$A$2:$A$1048576,Aerodromes!$B$2:$B$1048576)</f>
        <v>#N/A</v>
      </c>
      <c r="H33" s="10" t="e">
        <f>LOOKUP($G33,Aerodromes!$A$2:$A$1048576,Aerodromes!$B$2:$B$1048576)</f>
        <v>#N/A</v>
      </c>
      <c r="K33" s="13">
        <f t="shared" si="0"/>
        <v>0</v>
      </c>
      <c r="V33" s="34">
        <f>SUBTOTAL(9,$K$3:$K33)</f>
        <v>0</v>
      </c>
      <c r="W33" s="35">
        <f>SUBTOTAL(9,$R$3:$R33)</f>
        <v>0</v>
      </c>
      <c r="X33" s="36">
        <f>SUBTOTAL(9,$S$3:$S33)</f>
        <v>0</v>
      </c>
      <c r="Y33" s="23">
        <f>SUBTOTAL(9,$L$3:$L33)</f>
        <v>0</v>
      </c>
      <c r="Z33" s="10">
        <f>SUBTOTAL(9,$M$3:$M33)</f>
        <v>0</v>
      </c>
    </row>
    <row r="34" spans="3:26" x14ac:dyDescent="0.25">
      <c r="C34" s="9" t="e">
        <f>LOOKUP($B34,Aircrafts!$A$2:$A$1048576,Aircrafts!$B$2:$B$1048576)</f>
        <v>#N/A</v>
      </c>
      <c r="D34" s="10" t="e">
        <f>LOOKUP($B34,Aircrafts!$A$2:$A$1048576,Aircrafts!$C$2:$C$1048576)</f>
        <v>#N/A</v>
      </c>
      <c r="F34" s="10" t="e">
        <f>LOOKUP($E34,Aerodromes!$A$2:$A$1048576,Aerodromes!$B$2:$B$1048576)</f>
        <v>#N/A</v>
      </c>
      <c r="H34" s="10" t="e">
        <f>LOOKUP($G34,Aerodromes!$A$2:$A$1048576,Aerodromes!$B$2:$B$1048576)</f>
        <v>#N/A</v>
      </c>
      <c r="K34" s="13">
        <f t="shared" si="0"/>
        <v>0</v>
      </c>
      <c r="V34" s="34">
        <f>SUBTOTAL(9,$K$3:$K34)</f>
        <v>0</v>
      </c>
      <c r="W34" s="35">
        <f>SUBTOTAL(9,$R$3:$R34)</f>
        <v>0</v>
      </c>
      <c r="X34" s="36">
        <f>SUBTOTAL(9,$S$3:$S34)</f>
        <v>0</v>
      </c>
      <c r="Y34" s="23">
        <f>SUBTOTAL(9,$L$3:$L34)</f>
        <v>0</v>
      </c>
      <c r="Z34" s="10">
        <f>SUBTOTAL(9,$M$3:$M34)</f>
        <v>0</v>
      </c>
    </row>
    <row r="35" spans="3:26" x14ac:dyDescent="0.25">
      <c r="C35" s="9" t="e">
        <f>LOOKUP($B35,Aircrafts!$A$2:$A$1048576,Aircrafts!$B$2:$B$1048576)</f>
        <v>#N/A</v>
      </c>
      <c r="D35" s="10" t="e">
        <f>LOOKUP($B35,Aircrafts!$A$2:$A$1048576,Aircrafts!$C$2:$C$1048576)</f>
        <v>#N/A</v>
      </c>
      <c r="F35" s="10" t="e">
        <f>LOOKUP($E35,Aerodromes!$A$2:$A$1048576,Aerodromes!$B$2:$B$1048576)</f>
        <v>#N/A</v>
      </c>
      <c r="H35" s="10" t="e">
        <f>LOOKUP($G35,Aerodromes!$A$2:$A$1048576,Aerodromes!$B$2:$B$1048576)</f>
        <v>#N/A</v>
      </c>
      <c r="K35" s="13">
        <f t="shared" si="0"/>
        <v>0</v>
      </c>
      <c r="V35" s="34">
        <f>SUBTOTAL(9,$K$3:$K35)</f>
        <v>0</v>
      </c>
      <c r="W35" s="35">
        <f>SUBTOTAL(9,$R$3:$R35)</f>
        <v>0</v>
      </c>
      <c r="X35" s="36">
        <f>SUBTOTAL(9,$S$3:$S35)</f>
        <v>0</v>
      </c>
      <c r="Y35" s="23">
        <f>SUBTOTAL(9,$L$3:$L35)</f>
        <v>0</v>
      </c>
      <c r="Z35" s="10">
        <f>SUBTOTAL(9,$M$3:$M35)</f>
        <v>0</v>
      </c>
    </row>
    <row r="36" spans="3:26" x14ac:dyDescent="0.25">
      <c r="C36" s="9" t="e">
        <f>LOOKUP($B36,Aircrafts!$A$2:$A$1048576,Aircrafts!$B$2:$B$1048576)</f>
        <v>#N/A</v>
      </c>
      <c r="D36" s="10" t="e">
        <f>LOOKUP($B36,Aircrafts!$A$2:$A$1048576,Aircrafts!$C$2:$C$1048576)</f>
        <v>#N/A</v>
      </c>
      <c r="F36" s="10" t="e">
        <f>LOOKUP($E36,Aerodromes!$A$2:$A$1048576,Aerodromes!$B$2:$B$1048576)</f>
        <v>#N/A</v>
      </c>
      <c r="H36" s="10" t="e">
        <f>LOOKUP($G36,Aerodromes!$A$2:$A$1048576,Aerodromes!$B$2:$B$1048576)</f>
        <v>#N/A</v>
      </c>
      <c r="K36" s="13">
        <f t="shared" si="0"/>
        <v>0</v>
      </c>
      <c r="V36" s="34">
        <f>SUBTOTAL(9,$K$3:$K36)</f>
        <v>0</v>
      </c>
      <c r="W36" s="35">
        <f>SUBTOTAL(9,$R$3:$R36)</f>
        <v>0</v>
      </c>
      <c r="X36" s="36">
        <f>SUBTOTAL(9,$S$3:$S36)</f>
        <v>0</v>
      </c>
      <c r="Y36" s="23">
        <f>SUBTOTAL(9,$L$3:$L36)</f>
        <v>0</v>
      </c>
      <c r="Z36" s="10">
        <f>SUBTOTAL(9,$M$3:$M36)</f>
        <v>0</v>
      </c>
    </row>
    <row r="37" spans="3:26" x14ac:dyDescent="0.25">
      <c r="C37" s="9" t="e">
        <f>LOOKUP($B37,Aircrafts!$A$2:$A$1048576,Aircrafts!$B$2:$B$1048576)</f>
        <v>#N/A</v>
      </c>
      <c r="D37" s="10" t="e">
        <f>LOOKUP($B37,Aircrafts!$A$2:$A$1048576,Aircrafts!$C$2:$C$1048576)</f>
        <v>#N/A</v>
      </c>
      <c r="F37" s="10" t="e">
        <f>LOOKUP($E37,Aerodromes!$A$2:$A$1048576,Aerodromes!$B$2:$B$1048576)</f>
        <v>#N/A</v>
      </c>
      <c r="H37" s="10" t="e">
        <f>LOOKUP($G37,Aerodromes!$A$2:$A$1048576,Aerodromes!$B$2:$B$1048576)</f>
        <v>#N/A</v>
      </c>
      <c r="K37" s="13">
        <f t="shared" si="0"/>
        <v>0</v>
      </c>
      <c r="V37" s="34">
        <f>SUBTOTAL(9,$K$3:$K37)</f>
        <v>0</v>
      </c>
      <c r="W37" s="35">
        <f>SUBTOTAL(9,$R$3:$R37)</f>
        <v>0</v>
      </c>
      <c r="X37" s="36">
        <f>SUBTOTAL(9,$S$3:$S37)</f>
        <v>0</v>
      </c>
      <c r="Y37" s="23">
        <f>SUBTOTAL(9,$L$3:$L37)</f>
        <v>0</v>
      </c>
      <c r="Z37" s="10">
        <f>SUBTOTAL(9,$M$3:$M37)</f>
        <v>0</v>
      </c>
    </row>
    <row r="38" spans="3:26" x14ac:dyDescent="0.25">
      <c r="C38" s="9" t="e">
        <f>LOOKUP($B38,Aircrafts!$A$2:$A$1048576,Aircrafts!$B$2:$B$1048576)</f>
        <v>#N/A</v>
      </c>
      <c r="D38" s="10" t="e">
        <f>LOOKUP($B38,Aircrafts!$A$2:$A$1048576,Aircrafts!$C$2:$C$1048576)</f>
        <v>#N/A</v>
      </c>
      <c r="F38" s="10" t="e">
        <f>LOOKUP($E38,Aerodromes!$A$2:$A$1048576,Aerodromes!$B$2:$B$1048576)</f>
        <v>#N/A</v>
      </c>
      <c r="H38" s="10" t="e">
        <f>LOOKUP($G38,Aerodromes!$A$2:$A$1048576,Aerodromes!$B$2:$B$1048576)</f>
        <v>#N/A</v>
      </c>
      <c r="K38" s="13">
        <f t="shared" si="0"/>
        <v>0</v>
      </c>
      <c r="V38" s="34">
        <f>SUBTOTAL(9,$K$3:$K38)</f>
        <v>0</v>
      </c>
      <c r="W38" s="35">
        <f>SUBTOTAL(9,$R$3:$R38)</f>
        <v>0</v>
      </c>
      <c r="X38" s="36">
        <f>SUBTOTAL(9,$S$3:$S38)</f>
        <v>0</v>
      </c>
      <c r="Y38" s="23">
        <f>SUBTOTAL(9,$L$3:$L38)</f>
        <v>0</v>
      </c>
      <c r="Z38" s="10">
        <f>SUBTOTAL(9,$M$3:$M38)</f>
        <v>0</v>
      </c>
    </row>
    <row r="39" spans="3:26" x14ac:dyDescent="0.25">
      <c r="C39" s="9" t="e">
        <f>LOOKUP($B39,Aircrafts!$A$2:$A$1048576,Aircrafts!$B$2:$B$1048576)</f>
        <v>#N/A</v>
      </c>
      <c r="D39" s="10" t="e">
        <f>LOOKUP($B39,Aircrafts!$A$2:$A$1048576,Aircrafts!$C$2:$C$1048576)</f>
        <v>#N/A</v>
      </c>
      <c r="F39" s="10" t="e">
        <f>LOOKUP($E39,Aerodromes!$A$2:$A$1048576,Aerodromes!$B$2:$B$1048576)</f>
        <v>#N/A</v>
      </c>
      <c r="H39" s="10" t="e">
        <f>LOOKUP($G39,Aerodromes!$A$2:$A$1048576,Aerodromes!$B$2:$B$1048576)</f>
        <v>#N/A</v>
      </c>
      <c r="K39" s="13">
        <f t="shared" si="0"/>
        <v>0</v>
      </c>
      <c r="V39" s="34">
        <f>SUBTOTAL(9,$K$3:$K39)</f>
        <v>0</v>
      </c>
      <c r="W39" s="35">
        <f>SUBTOTAL(9,$R$3:$R39)</f>
        <v>0</v>
      </c>
      <c r="X39" s="36">
        <f>SUBTOTAL(9,$S$3:$S39)</f>
        <v>0</v>
      </c>
      <c r="Y39" s="23">
        <f>SUBTOTAL(9,$L$3:$L39)</f>
        <v>0</v>
      </c>
      <c r="Z39" s="10">
        <f>SUBTOTAL(9,$M$3:$M39)</f>
        <v>0</v>
      </c>
    </row>
    <row r="40" spans="3:26" x14ac:dyDescent="0.25">
      <c r="C40" s="9" t="e">
        <f>LOOKUP($B40,Aircrafts!$A$2:$A$1048576,Aircrafts!$B$2:$B$1048576)</f>
        <v>#N/A</v>
      </c>
      <c r="D40" s="10" t="e">
        <f>LOOKUP($B40,Aircrafts!$A$2:$A$1048576,Aircrafts!$C$2:$C$1048576)</f>
        <v>#N/A</v>
      </c>
      <c r="F40" s="10" t="e">
        <f>LOOKUP($E40,Aerodromes!$A$2:$A$1048576,Aerodromes!$B$2:$B$1048576)</f>
        <v>#N/A</v>
      </c>
      <c r="H40" s="10" t="e">
        <f>LOOKUP($G40,Aerodromes!$A$2:$A$1048576,Aerodromes!$B$2:$B$1048576)</f>
        <v>#N/A</v>
      </c>
      <c r="K40" s="13">
        <f t="shared" si="0"/>
        <v>0</v>
      </c>
      <c r="V40" s="34">
        <f>SUBTOTAL(9,$K$3:$K40)</f>
        <v>0</v>
      </c>
      <c r="W40" s="35">
        <f>SUBTOTAL(9,$R$3:$R40)</f>
        <v>0</v>
      </c>
      <c r="X40" s="36">
        <f>SUBTOTAL(9,$S$3:$S40)</f>
        <v>0</v>
      </c>
      <c r="Y40" s="23">
        <f>SUBTOTAL(9,$L$3:$L40)</f>
        <v>0</v>
      </c>
      <c r="Z40" s="10">
        <f>SUBTOTAL(9,$M$3:$M40)</f>
        <v>0</v>
      </c>
    </row>
    <row r="41" spans="3:26" x14ac:dyDescent="0.25">
      <c r="C41" s="9" t="e">
        <f>LOOKUP($B41,Aircrafts!$A$2:$A$1048576,Aircrafts!$B$2:$B$1048576)</f>
        <v>#N/A</v>
      </c>
      <c r="D41" s="10" t="e">
        <f>LOOKUP($B41,Aircrafts!$A$2:$A$1048576,Aircrafts!$C$2:$C$1048576)</f>
        <v>#N/A</v>
      </c>
      <c r="F41" s="10" t="e">
        <f>LOOKUP($E41,Aerodromes!$A$2:$A$1048576,Aerodromes!$B$2:$B$1048576)</f>
        <v>#N/A</v>
      </c>
      <c r="H41" s="10" t="e">
        <f>LOOKUP($G41,Aerodromes!$A$2:$A$1048576,Aerodromes!$B$2:$B$1048576)</f>
        <v>#N/A</v>
      </c>
      <c r="K41" s="13">
        <f t="shared" si="0"/>
        <v>0</v>
      </c>
      <c r="V41" s="34">
        <f>SUBTOTAL(9,$K$3:$K41)</f>
        <v>0</v>
      </c>
      <c r="W41" s="35">
        <f>SUBTOTAL(9,$R$3:$R41)</f>
        <v>0</v>
      </c>
      <c r="X41" s="36">
        <f>SUBTOTAL(9,$S$3:$S41)</f>
        <v>0</v>
      </c>
      <c r="Y41" s="23">
        <f>SUBTOTAL(9,$L$3:$L41)</f>
        <v>0</v>
      </c>
      <c r="Z41" s="10">
        <f>SUBTOTAL(9,$M$3:$M41)</f>
        <v>0</v>
      </c>
    </row>
    <row r="42" spans="3:26" x14ac:dyDescent="0.25">
      <c r="C42" s="9" t="e">
        <f>LOOKUP($B42,Aircrafts!$A$2:$A$1048576,Aircrafts!$B$2:$B$1048576)</f>
        <v>#N/A</v>
      </c>
      <c r="D42" s="10" t="e">
        <f>LOOKUP($B42,Aircrafts!$A$2:$A$1048576,Aircrafts!$C$2:$C$1048576)</f>
        <v>#N/A</v>
      </c>
      <c r="F42" s="10" t="e">
        <f>LOOKUP($E42,Aerodromes!$A$2:$A$1048576,Aerodromes!$B$2:$B$1048576)</f>
        <v>#N/A</v>
      </c>
      <c r="H42" s="10" t="e">
        <f>LOOKUP($G42,Aerodromes!$A$2:$A$1048576,Aerodromes!$B$2:$B$1048576)</f>
        <v>#N/A</v>
      </c>
      <c r="K42" s="13">
        <f t="shared" si="0"/>
        <v>0</v>
      </c>
      <c r="V42" s="34">
        <f>SUBTOTAL(9,$K$3:$K42)</f>
        <v>0</v>
      </c>
      <c r="W42" s="35">
        <f>SUBTOTAL(9,$R$3:$R42)</f>
        <v>0</v>
      </c>
      <c r="X42" s="36">
        <f>SUBTOTAL(9,$S$3:$S42)</f>
        <v>0</v>
      </c>
      <c r="Y42" s="23">
        <f>SUBTOTAL(9,$L$3:$L42)</f>
        <v>0</v>
      </c>
      <c r="Z42" s="10">
        <f>SUBTOTAL(9,$M$3:$M42)</f>
        <v>0</v>
      </c>
    </row>
    <row r="43" spans="3:26" x14ac:dyDescent="0.25">
      <c r="C43" s="9" t="e">
        <f>LOOKUP($B43,Aircrafts!$A$2:$A$1048576,Aircrafts!$B$2:$B$1048576)</f>
        <v>#N/A</v>
      </c>
      <c r="D43" s="10" t="e">
        <f>LOOKUP($B43,Aircrafts!$A$2:$A$1048576,Aircrafts!$C$2:$C$1048576)</f>
        <v>#N/A</v>
      </c>
      <c r="F43" s="10" t="e">
        <f>LOOKUP($E43,Aerodromes!$A$2:$A$1048576,Aerodromes!$B$2:$B$1048576)</f>
        <v>#N/A</v>
      </c>
      <c r="H43" s="10" t="e">
        <f>LOOKUP($G43,Aerodromes!$A$2:$A$1048576,Aerodromes!$B$2:$B$1048576)</f>
        <v>#N/A</v>
      </c>
      <c r="K43" s="13">
        <f t="shared" si="0"/>
        <v>0</v>
      </c>
      <c r="V43" s="34">
        <f>SUBTOTAL(9,$K$3:$K43)</f>
        <v>0</v>
      </c>
      <c r="W43" s="35">
        <f>SUBTOTAL(9,$R$3:$R43)</f>
        <v>0</v>
      </c>
      <c r="X43" s="36">
        <f>SUBTOTAL(9,$S$3:$S43)</f>
        <v>0</v>
      </c>
      <c r="Y43" s="23">
        <f>SUBTOTAL(9,$L$3:$L43)</f>
        <v>0</v>
      </c>
      <c r="Z43" s="10">
        <f>SUBTOTAL(9,$M$3:$M43)</f>
        <v>0</v>
      </c>
    </row>
    <row r="44" spans="3:26" x14ac:dyDescent="0.25">
      <c r="C44" s="9" t="e">
        <f>LOOKUP($B44,Aircrafts!$A$2:$A$1048576,Aircrafts!$B$2:$B$1048576)</f>
        <v>#N/A</v>
      </c>
      <c r="D44" s="10" t="e">
        <f>LOOKUP($B44,Aircrafts!$A$2:$A$1048576,Aircrafts!$C$2:$C$1048576)</f>
        <v>#N/A</v>
      </c>
      <c r="F44" s="10" t="e">
        <f>LOOKUP($E44,Aerodromes!$A$2:$A$1048576,Aerodromes!$B$2:$B$1048576)</f>
        <v>#N/A</v>
      </c>
      <c r="H44" s="10" t="e">
        <f>LOOKUP($G44,Aerodromes!$A$2:$A$1048576,Aerodromes!$B$2:$B$1048576)</f>
        <v>#N/A</v>
      </c>
      <c r="K44" s="13">
        <f t="shared" si="0"/>
        <v>0</v>
      </c>
      <c r="V44" s="34">
        <f>SUBTOTAL(9,$K$3:$K44)</f>
        <v>0</v>
      </c>
      <c r="W44" s="35">
        <f>SUBTOTAL(9,$R$3:$R44)</f>
        <v>0</v>
      </c>
      <c r="X44" s="36">
        <f>SUBTOTAL(9,$S$3:$S44)</f>
        <v>0</v>
      </c>
      <c r="Y44" s="23">
        <f>SUBTOTAL(9,$L$3:$L44)</f>
        <v>0</v>
      </c>
      <c r="Z44" s="10">
        <f>SUBTOTAL(9,$M$3:$M44)</f>
        <v>0</v>
      </c>
    </row>
    <row r="45" spans="3:26" x14ac:dyDescent="0.25">
      <c r="C45" s="9" t="e">
        <f>LOOKUP($B45,Aircrafts!$A$2:$A$1048576,Aircrafts!$B$2:$B$1048576)</f>
        <v>#N/A</v>
      </c>
      <c r="D45" s="10" t="e">
        <f>LOOKUP($B45,Aircrafts!$A$2:$A$1048576,Aircrafts!$C$2:$C$1048576)</f>
        <v>#N/A</v>
      </c>
      <c r="F45" s="10" t="e">
        <f>LOOKUP($E45,Aerodromes!$A$2:$A$1048576,Aerodromes!$B$2:$B$1048576)</f>
        <v>#N/A</v>
      </c>
      <c r="H45" s="10" t="e">
        <f>LOOKUP($G45,Aerodromes!$A$2:$A$1048576,Aerodromes!$B$2:$B$1048576)</f>
        <v>#N/A</v>
      </c>
      <c r="K45" s="13">
        <f t="shared" si="0"/>
        <v>0</v>
      </c>
      <c r="V45" s="34">
        <f>SUBTOTAL(9,$K$3:$K45)</f>
        <v>0</v>
      </c>
      <c r="W45" s="35">
        <f>SUBTOTAL(9,$R$3:$R45)</f>
        <v>0</v>
      </c>
      <c r="X45" s="36">
        <f>SUBTOTAL(9,$S$3:$S45)</f>
        <v>0</v>
      </c>
      <c r="Y45" s="23">
        <f>SUBTOTAL(9,$L$3:$L45)</f>
        <v>0</v>
      </c>
      <c r="Z45" s="10">
        <f>SUBTOTAL(9,$M$3:$M45)</f>
        <v>0</v>
      </c>
    </row>
    <row r="46" spans="3:26" x14ac:dyDescent="0.25">
      <c r="C46" s="9" t="e">
        <f>LOOKUP($B46,Aircrafts!$A$2:$A$1048576,Aircrafts!$B$2:$B$1048576)</f>
        <v>#N/A</v>
      </c>
      <c r="D46" s="10" t="e">
        <f>LOOKUP($B46,Aircrafts!$A$2:$A$1048576,Aircrafts!$C$2:$C$1048576)</f>
        <v>#N/A</v>
      </c>
      <c r="F46" s="10" t="e">
        <f>LOOKUP($E46,Aerodromes!$A$2:$A$1048576,Aerodromes!$B$2:$B$1048576)</f>
        <v>#N/A</v>
      </c>
      <c r="H46" s="10" t="e">
        <f>LOOKUP($G46,Aerodromes!$A$2:$A$1048576,Aerodromes!$B$2:$B$1048576)</f>
        <v>#N/A</v>
      </c>
      <c r="K46" s="13">
        <f t="shared" si="0"/>
        <v>0</v>
      </c>
      <c r="V46" s="34">
        <f>SUBTOTAL(9,$K$3:$K46)</f>
        <v>0</v>
      </c>
      <c r="W46" s="35">
        <f>SUBTOTAL(9,$R$3:$R46)</f>
        <v>0</v>
      </c>
      <c r="X46" s="36">
        <f>SUBTOTAL(9,$S$3:$S46)</f>
        <v>0</v>
      </c>
      <c r="Y46" s="23">
        <f>SUBTOTAL(9,$L$3:$L46)</f>
        <v>0</v>
      </c>
      <c r="Z46" s="10">
        <f>SUBTOTAL(9,$M$3:$M46)</f>
        <v>0</v>
      </c>
    </row>
    <row r="47" spans="3:26" x14ac:dyDescent="0.25">
      <c r="C47" s="9" t="e">
        <f>LOOKUP($B47,Aircrafts!$A$2:$A$1048576,Aircrafts!$B$2:$B$1048576)</f>
        <v>#N/A</v>
      </c>
      <c r="D47" s="10" t="e">
        <f>LOOKUP($B47,Aircrafts!$A$2:$A$1048576,Aircrafts!$C$2:$C$1048576)</f>
        <v>#N/A</v>
      </c>
      <c r="F47" s="10" t="e">
        <f>LOOKUP($E47,Aerodromes!$A$2:$A$1048576,Aerodromes!$B$2:$B$1048576)</f>
        <v>#N/A</v>
      </c>
      <c r="H47" s="10" t="e">
        <f>LOOKUP($G47,Aerodromes!$A$2:$A$1048576,Aerodromes!$B$2:$B$1048576)</f>
        <v>#N/A</v>
      </c>
      <c r="K47" s="13">
        <f t="shared" si="0"/>
        <v>0</v>
      </c>
      <c r="V47" s="34">
        <f>SUBTOTAL(9,$K$3:$K47)</f>
        <v>0</v>
      </c>
      <c r="W47" s="35">
        <f>SUBTOTAL(9,$R$3:$R47)</f>
        <v>0</v>
      </c>
      <c r="X47" s="36">
        <f>SUBTOTAL(9,$S$3:$S47)</f>
        <v>0</v>
      </c>
      <c r="Y47" s="23">
        <f>SUBTOTAL(9,$L$3:$L47)</f>
        <v>0</v>
      </c>
      <c r="Z47" s="10">
        <f>SUBTOTAL(9,$M$3:$M47)</f>
        <v>0</v>
      </c>
    </row>
    <row r="48" spans="3:26" x14ac:dyDescent="0.25">
      <c r="C48" s="9" t="e">
        <f>LOOKUP($B48,Aircrafts!$A$2:$A$1048576,Aircrafts!$B$2:$B$1048576)</f>
        <v>#N/A</v>
      </c>
      <c r="D48" s="10" t="e">
        <f>LOOKUP($B48,Aircrafts!$A$2:$A$1048576,Aircrafts!$C$2:$C$1048576)</f>
        <v>#N/A</v>
      </c>
      <c r="F48" s="10" t="e">
        <f>LOOKUP($E48,Aerodromes!$A$2:$A$1048576,Aerodromes!$B$2:$B$1048576)</f>
        <v>#N/A</v>
      </c>
      <c r="H48" s="10" t="e">
        <f>LOOKUP($G48,Aerodromes!$A$2:$A$1048576,Aerodromes!$B$2:$B$1048576)</f>
        <v>#N/A</v>
      </c>
      <c r="K48" s="13">
        <f t="shared" si="0"/>
        <v>0</v>
      </c>
      <c r="V48" s="34">
        <f>SUBTOTAL(9,$K$3:$K48)</f>
        <v>0</v>
      </c>
      <c r="W48" s="35">
        <f>SUBTOTAL(9,$R$3:$R48)</f>
        <v>0</v>
      </c>
      <c r="X48" s="36">
        <f>SUBTOTAL(9,$S$3:$S48)</f>
        <v>0</v>
      </c>
      <c r="Y48" s="23">
        <f>SUBTOTAL(9,$L$3:$L48)</f>
        <v>0</v>
      </c>
      <c r="Z48" s="10">
        <f>SUBTOTAL(9,$M$3:$M48)</f>
        <v>0</v>
      </c>
    </row>
    <row r="49" spans="3:26" x14ac:dyDescent="0.25">
      <c r="C49" s="9" t="e">
        <f>LOOKUP($B49,Aircrafts!$A$2:$A$1048576,Aircrafts!$B$2:$B$1048576)</f>
        <v>#N/A</v>
      </c>
      <c r="D49" s="10" t="e">
        <f>LOOKUP($B49,Aircrafts!$A$2:$A$1048576,Aircrafts!$C$2:$C$1048576)</f>
        <v>#N/A</v>
      </c>
      <c r="F49" s="10" t="e">
        <f>LOOKUP($E49,Aerodromes!$A$2:$A$1048576,Aerodromes!$B$2:$B$1048576)</f>
        <v>#N/A</v>
      </c>
      <c r="H49" s="10" t="e">
        <f>LOOKUP($G49,Aerodromes!$A$2:$A$1048576,Aerodromes!$B$2:$B$1048576)</f>
        <v>#N/A</v>
      </c>
      <c r="K49" s="13">
        <f t="shared" si="0"/>
        <v>0</v>
      </c>
      <c r="V49" s="34">
        <f>SUBTOTAL(9,$K$3:$K49)</f>
        <v>0</v>
      </c>
      <c r="W49" s="35">
        <f>SUBTOTAL(9,$R$3:$R49)</f>
        <v>0</v>
      </c>
      <c r="X49" s="36">
        <f>SUBTOTAL(9,$S$3:$S49)</f>
        <v>0</v>
      </c>
      <c r="Y49" s="23">
        <f>SUBTOTAL(9,$L$3:$L49)</f>
        <v>0</v>
      </c>
      <c r="Z49" s="10">
        <f>SUBTOTAL(9,$M$3:$M49)</f>
        <v>0</v>
      </c>
    </row>
    <row r="50" spans="3:26" x14ac:dyDescent="0.25">
      <c r="C50" s="9" t="e">
        <f>LOOKUP($B50,Aircrafts!$A$2:$A$1048576,Aircrafts!$B$2:$B$1048576)</f>
        <v>#N/A</v>
      </c>
      <c r="D50" s="10" t="e">
        <f>LOOKUP($B50,Aircrafts!$A$2:$A$1048576,Aircrafts!$C$2:$C$1048576)</f>
        <v>#N/A</v>
      </c>
      <c r="F50" s="10" t="e">
        <f>LOOKUP($E50,Aerodromes!$A$2:$A$1048576,Aerodromes!$B$2:$B$1048576)</f>
        <v>#N/A</v>
      </c>
      <c r="H50" s="10" t="e">
        <f>LOOKUP($G50,Aerodromes!$A$2:$A$1048576,Aerodromes!$B$2:$B$1048576)</f>
        <v>#N/A</v>
      </c>
      <c r="K50" s="13">
        <f t="shared" si="0"/>
        <v>0</v>
      </c>
      <c r="V50" s="34">
        <f>SUBTOTAL(9,$K$3:$K50)</f>
        <v>0</v>
      </c>
      <c r="W50" s="35">
        <f>SUBTOTAL(9,$R$3:$R50)</f>
        <v>0</v>
      </c>
      <c r="X50" s="36">
        <f>SUBTOTAL(9,$S$3:$S50)</f>
        <v>0</v>
      </c>
      <c r="Y50" s="23">
        <f>SUBTOTAL(9,$L$3:$L50)</f>
        <v>0</v>
      </c>
      <c r="Z50" s="10">
        <f>SUBTOTAL(9,$M$3:$M50)</f>
        <v>0</v>
      </c>
    </row>
    <row r="51" spans="3:26" x14ac:dyDescent="0.25">
      <c r="C51" s="9" t="e">
        <f>LOOKUP($B51,Aircrafts!$A$2:$A$1048576,Aircrafts!$B$2:$B$1048576)</f>
        <v>#N/A</v>
      </c>
      <c r="D51" s="10" t="e">
        <f>LOOKUP($B51,Aircrafts!$A$2:$A$1048576,Aircrafts!$C$2:$C$1048576)</f>
        <v>#N/A</v>
      </c>
      <c r="F51" s="10" t="e">
        <f>LOOKUP($E51,Aerodromes!$A$2:$A$1048576,Aerodromes!$B$2:$B$1048576)</f>
        <v>#N/A</v>
      </c>
      <c r="H51" s="10" t="e">
        <f>LOOKUP($G51,Aerodromes!$A$2:$A$1048576,Aerodromes!$B$2:$B$1048576)</f>
        <v>#N/A</v>
      </c>
      <c r="K51" s="13">
        <f t="shared" si="0"/>
        <v>0</v>
      </c>
      <c r="V51" s="34">
        <f>SUBTOTAL(9,$K$3:$K51)</f>
        <v>0</v>
      </c>
      <c r="W51" s="35">
        <f>SUBTOTAL(9,$R$3:$R51)</f>
        <v>0</v>
      </c>
      <c r="X51" s="36">
        <f>SUBTOTAL(9,$S$3:$S51)</f>
        <v>0</v>
      </c>
      <c r="Y51" s="23">
        <f>SUBTOTAL(9,$L$3:$L51)</f>
        <v>0</v>
      </c>
      <c r="Z51" s="10">
        <f>SUBTOTAL(9,$M$3:$M51)</f>
        <v>0</v>
      </c>
    </row>
    <row r="52" spans="3:26" x14ac:dyDescent="0.25">
      <c r="C52" s="9" t="e">
        <f>LOOKUP($B52,Aircrafts!$A$2:$A$1048576,Aircrafts!$B$2:$B$1048576)</f>
        <v>#N/A</v>
      </c>
      <c r="D52" s="10" t="e">
        <f>LOOKUP($B52,Aircrafts!$A$2:$A$1048576,Aircrafts!$C$2:$C$1048576)</f>
        <v>#N/A</v>
      </c>
      <c r="F52" s="10" t="e">
        <f>LOOKUP($E52,Aerodromes!$A$2:$A$1048576,Aerodromes!$B$2:$B$1048576)</f>
        <v>#N/A</v>
      </c>
      <c r="H52" s="10" t="e">
        <f>LOOKUP($G52,Aerodromes!$A$2:$A$1048576,Aerodromes!$B$2:$B$1048576)</f>
        <v>#N/A</v>
      </c>
      <c r="K52" s="13">
        <f t="shared" si="0"/>
        <v>0</v>
      </c>
      <c r="V52" s="34">
        <f>SUBTOTAL(9,$K$3:$K52)</f>
        <v>0</v>
      </c>
      <c r="W52" s="35">
        <f>SUBTOTAL(9,$R$3:$R52)</f>
        <v>0</v>
      </c>
      <c r="X52" s="36">
        <f>SUBTOTAL(9,$S$3:$S52)</f>
        <v>0</v>
      </c>
      <c r="Y52" s="23">
        <f>SUBTOTAL(9,$L$3:$L52)</f>
        <v>0</v>
      </c>
      <c r="Z52" s="10">
        <f>SUBTOTAL(9,$M$3:$M52)</f>
        <v>0</v>
      </c>
    </row>
    <row r="53" spans="3:26" x14ac:dyDescent="0.25">
      <c r="C53" s="9" t="e">
        <f>LOOKUP($B53,Aircrafts!$A$2:$A$1048576,Aircrafts!$B$2:$B$1048576)</f>
        <v>#N/A</v>
      </c>
      <c r="D53" s="10" t="e">
        <f>LOOKUP($B53,Aircrafts!$A$2:$A$1048576,Aircrafts!$C$2:$C$1048576)</f>
        <v>#N/A</v>
      </c>
      <c r="F53" s="10" t="e">
        <f>LOOKUP($E53,Aerodromes!$A$2:$A$1048576,Aerodromes!$B$2:$B$1048576)</f>
        <v>#N/A</v>
      </c>
      <c r="H53" s="10" t="e">
        <f>LOOKUP($G53,Aerodromes!$A$2:$A$1048576,Aerodromes!$B$2:$B$1048576)</f>
        <v>#N/A</v>
      </c>
      <c r="K53" s="13">
        <f t="shared" si="0"/>
        <v>0</v>
      </c>
      <c r="V53" s="34">
        <f>SUBTOTAL(9,$K$3:$K53)</f>
        <v>0</v>
      </c>
      <c r="W53" s="35">
        <f>SUBTOTAL(9,$R$3:$R53)</f>
        <v>0</v>
      </c>
      <c r="X53" s="36">
        <f>SUBTOTAL(9,$S$3:$S53)</f>
        <v>0</v>
      </c>
      <c r="Y53" s="23">
        <f>SUBTOTAL(9,$L$3:$L53)</f>
        <v>0</v>
      </c>
      <c r="Z53" s="10">
        <f>SUBTOTAL(9,$M$3:$M53)</f>
        <v>0</v>
      </c>
    </row>
    <row r="54" spans="3:26" x14ac:dyDescent="0.25">
      <c r="C54" s="9" t="e">
        <f>LOOKUP($B54,Aircrafts!$A$2:$A$1048576,Aircrafts!$B$2:$B$1048576)</f>
        <v>#N/A</v>
      </c>
      <c r="D54" s="10" t="e">
        <f>LOOKUP($B54,Aircrafts!$A$2:$A$1048576,Aircrafts!$C$2:$C$1048576)</f>
        <v>#N/A</v>
      </c>
      <c r="F54" s="10" t="e">
        <f>LOOKUP($E54,Aerodromes!$A$2:$A$1048576,Aerodromes!$B$2:$B$1048576)</f>
        <v>#N/A</v>
      </c>
      <c r="H54" s="10" t="e">
        <f>LOOKUP($G54,Aerodromes!$A$2:$A$1048576,Aerodromes!$B$2:$B$1048576)</f>
        <v>#N/A</v>
      </c>
      <c r="K54" s="13">
        <f t="shared" si="0"/>
        <v>0</v>
      </c>
      <c r="V54" s="34">
        <f>SUBTOTAL(9,$K$3:$K54)</f>
        <v>0</v>
      </c>
      <c r="W54" s="35">
        <f>SUBTOTAL(9,$R$3:$R54)</f>
        <v>0</v>
      </c>
      <c r="X54" s="36">
        <f>SUBTOTAL(9,$S$3:$S54)</f>
        <v>0</v>
      </c>
      <c r="Y54" s="23">
        <f>SUBTOTAL(9,$L$3:$L54)</f>
        <v>0</v>
      </c>
      <c r="Z54" s="10">
        <f>SUBTOTAL(9,$M$3:$M54)</f>
        <v>0</v>
      </c>
    </row>
    <row r="55" spans="3:26" x14ac:dyDescent="0.25">
      <c r="C55" s="9" t="e">
        <f>LOOKUP($B55,Aircrafts!$A$2:$A$1048576,Aircrafts!$B$2:$B$1048576)</f>
        <v>#N/A</v>
      </c>
      <c r="D55" s="10" t="e">
        <f>LOOKUP($B55,Aircrafts!$A$2:$A$1048576,Aircrafts!$C$2:$C$1048576)</f>
        <v>#N/A</v>
      </c>
      <c r="F55" s="10" t="e">
        <f>LOOKUP($E55,Aerodromes!$A$2:$A$1048576,Aerodromes!$B$2:$B$1048576)</f>
        <v>#N/A</v>
      </c>
      <c r="H55" s="10" t="e">
        <f>LOOKUP($G55,Aerodromes!$A$2:$A$1048576,Aerodromes!$B$2:$B$1048576)</f>
        <v>#N/A</v>
      </c>
      <c r="K55" s="13">
        <f t="shared" si="0"/>
        <v>0</v>
      </c>
      <c r="V55" s="34">
        <f>SUBTOTAL(9,$K$3:$K55)</f>
        <v>0</v>
      </c>
      <c r="W55" s="35">
        <f>SUBTOTAL(9,$R$3:$R55)</f>
        <v>0</v>
      </c>
      <c r="X55" s="36">
        <f>SUBTOTAL(9,$S$3:$S55)</f>
        <v>0</v>
      </c>
      <c r="Y55" s="23">
        <f>SUBTOTAL(9,$L$3:$L55)</f>
        <v>0</v>
      </c>
      <c r="Z55" s="10">
        <f>SUBTOTAL(9,$M$3:$M55)</f>
        <v>0</v>
      </c>
    </row>
    <row r="56" spans="3:26" x14ac:dyDescent="0.25">
      <c r="C56" s="9" t="e">
        <f>LOOKUP($B56,Aircrafts!$A$2:$A$1048576,Aircrafts!$B$2:$B$1048576)</f>
        <v>#N/A</v>
      </c>
      <c r="D56" s="10" t="e">
        <f>LOOKUP($B56,Aircrafts!$A$2:$A$1048576,Aircrafts!$C$2:$C$1048576)</f>
        <v>#N/A</v>
      </c>
      <c r="F56" s="10" t="e">
        <f>LOOKUP($E56,Aerodromes!$A$2:$A$1048576,Aerodromes!$B$2:$B$1048576)</f>
        <v>#N/A</v>
      </c>
      <c r="H56" s="10" t="e">
        <f>LOOKUP($G56,Aerodromes!$A$2:$A$1048576,Aerodromes!$B$2:$B$1048576)</f>
        <v>#N/A</v>
      </c>
      <c r="K56" s="13">
        <f t="shared" si="0"/>
        <v>0</v>
      </c>
      <c r="V56" s="34">
        <f>SUBTOTAL(9,$K$3:$K56)</f>
        <v>0</v>
      </c>
      <c r="W56" s="35">
        <f>SUBTOTAL(9,$R$3:$R56)</f>
        <v>0</v>
      </c>
      <c r="X56" s="36">
        <f>SUBTOTAL(9,$S$3:$S56)</f>
        <v>0</v>
      </c>
      <c r="Y56" s="23">
        <f>SUBTOTAL(9,$L$3:$L56)</f>
        <v>0</v>
      </c>
      <c r="Z56" s="10">
        <f>SUBTOTAL(9,$M$3:$M56)</f>
        <v>0</v>
      </c>
    </row>
    <row r="57" spans="3:26" x14ac:dyDescent="0.25">
      <c r="C57" s="9" t="e">
        <f>LOOKUP($B57,Aircrafts!$A$2:$A$1048576,Aircrafts!$B$2:$B$1048576)</f>
        <v>#N/A</v>
      </c>
      <c r="D57" s="10" t="e">
        <f>LOOKUP($B57,Aircrafts!$A$2:$A$1048576,Aircrafts!$C$2:$C$1048576)</f>
        <v>#N/A</v>
      </c>
      <c r="F57" s="10" t="e">
        <f>LOOKUP($E57,Aerodromes!$A$2:$A$1048576,Aerodromes!$B$2:$B$1048576)</f>
        <v>#N/A</v>
      </c>
      <c r="H57" s="10" t="e">
        <f>LOOKUP($G57,Aerodromes!$A$2:$A$1048576,Aerodromes!$B$2:$B$1048576)</f>
        <v>#N/A</v>
      </c>
      <c r="K57" s="13">
        <f t="shared" si="0"/>
        <v>0</v>
      </c>
      <c r="V57" s="34">
        <f>SUBTOTAL(9,$K$3:$K57)</f>
        <v>0</v>
      </c>
      <c r="W57" s="35">
        <f>SUBTOTAL(9,$R$3:$R57)</f>
        <v>0</v>
      </c>
      <c r="X57" s="36">
        <f>SUBTOTAL(9,$S$3:$S57)</f>
        <v>0</v>
      </c>
      <c r="Y57" s="23">
        <f>SUBTOTAL(9,$L$3:$L57)</f>
        <v>0</v>
      </c>
      <c r="Z57" s="10">
        <f>SUBTOTAL(9,$M$3:$M57)</f>
        <v>0</v>
      </c>
    </row>
    <row r="58" spans="3:26" x14ac:dyDescent="0.25">
      <c r="C58" s="9" t="e">
        <f>LOOKUP($B58,Aircrafts!$A$2:$A$1048576,Aircrafts!$B$2:$B$1048576)</f>
        <v>#N/A</v>
      </c>
      <c r="D58" s="10" t="e">
        <f>LOOKUP($B58,Aircrafts!$A$2:$A$1048576,Aircrafts!$C$2:$C$1048576)</f>
        <v>#N/A</v>
      </c>
      <c r="F58" s="10" t="e">
        <f>LOOKUP($E58,Aerodromes!$A$2:$A$1048576,Aerodromes!$B$2:$B$1048576)</f>
        <v>#N/A</v>
      </c>
      <c r="H58" s="10" t="e">
        <f>LOOKUP($G58,Aerodromes!$A$2:$A$1048576,Aerodromes!$B$2:$B$1048576)</f>
        <v>#N/A</v>
      </c>
      <c r="K58" s="13">
        <f t="shared" si="0"/>
        <v>0</v>
      </c>
      <c r="V58" s="34">
        <f>SUBTOTAL(9,$K$3:$K58)</f>
        <v>0</v>
      </c>
      <c r="W58" s="35">
        <f>SUBTOTAL(9,$R$3:$R58)</f>
        <v>0</v>
      </c>
      <c r="X58" s="36">
        <f>SUBTOTAL(9,$S$3:$S58)</f>
        <v>0</v>
      </c>
      <c r="Y58" s="23">
        <f>SUBTOTAL(9,$L$3:$L58)</f>
        <v>0</v>
      </c>
      <c r="Z58" s="10">
        <f>SUBTOTAL(9,$M$3:$M58)</f>
        <v>0</v>
      </c>
    </row>
    <row r="59" spans="3:26" x14ac:dyDescent="0.25">
      <c r="C59" s="9" t="e">
        <f>LOOKUP($B59,Aircrafts!$A$2:$A$1048576,Aircrafts!$B$2:$B$1048576)</f>
        <v>#N/A</v>
      </c>
      <c r="D59" s="10" t="e">
        <f>LOOKUP($B59,Aircrafts!$A$2:$A$1048576,Aircrafts!$C$2:$C$1048576)</f>
        <v>#N/A</v>
      </c>
      <c r="F59" s="10" t="e">
        <f>LOOKUP($E59,Aerodromes!$A$2:$A$1048576,Aerodromes!$B$2:$B$1048576)</f>
        <v>#N/A</v>
      </c>
      <c r="H59" s="10" t="e">
        <f>LOOKUP($G59,Aerodromes!$A$2:$A$1048576,Aerodromes!$B$2:$B$1048576)</f>
        <v>#N/A</v>
      </c>
      <c r="K59" s="13">
        <f t="shared" si="0"/>
        <v>0</v>
      </c>
      <c r="V59" s="34">
        <f>SUBTOTAL(9,$K$3:$K59)</f>
        <v>0</v>
      </c>
      <c r="W59" s="35">
        <f>SUBTOTAL(9,$R$3:$R59)</f>
        <v>0</v>
      </c>
      <c r="X59" s="36">
        <f>SUBTOTAL(9,$S$3:$S59)</f>
        <v>0</v>
      </c>
      <c r="Y59" s="23">
        <f>SUBTOTAL(9,$L$3:$L59)</f>
        <v>0</v>
      </c>
      <c r="Z59" s="10">
        <f>SUBTOTAL(9,$M$3:$M59)</f>
        <v>0</v>
      </c>
    </row>
    <row r="60" spans="3:26" x14ac:dyDescent="0.25">
      <c r="C60" s="9" t="e">
        <f>LOOKUP($B60,Aircrafts!$A$2:$A$1048576,Aircrafts!$B$2:$B$1048576)</f>
        <v>#N/A</v>
      </c>
      <c r="D60" s="10" t="e">
        <f>LOOKUP($B60,Aircrafts!$A$2:$A$1048576,Aircrafts!$C$2:$C$1048576)</f>
        <v>#N/A</v>
      </c>
      <c r="F60" s="10" t="e">
        <f>LOOKUP($E60,Aerodromes!$A$2:$A$1048576,Aerodromes!$B$2:$B$1048576)</f>
        <v>#N/A</v>
      </c>
      <c r="H60" s="10" t="e">
        <f>LOOKUP($G60,Aerodromes!$A$2:$A$1048576,Aerodromes!$B$2:$B$1048576)</f>
        <v>#N/A</v>
      </c>
      <c r="K60" s="13">
        <f t="shared" si="0"/>
        <v>0</v>
      </c>
      <c r="V60" s="34">
        <f>SUBTOTAL(9,$K$3:$K60)</f>
        <v>0</v>
      </c>
      <c r="W60" s="35">
        <f>SUBTOTAL(9,$R$3:$R60)</f>
        <v>0</v>
      </c>
      <c r="X60" s="36">
        <f>SUBTOTAL(9,$S$3:$S60)</f>
        <v>0</v>
      </c>
      <c r="Y60" s="23">
        <f>SUBTOTAL(9,$L$3:$L60)</f>
        <v>0</v>
      </c>
      <c r="Z60" s="10">
        <f>SUBTOTAL(9,$M$3:$M60)</f>
        <v>0</v>
      </c>
    </row>
    <row r="61" spans="3:26" x14ac:dyDescent="0.25">
      <c r="C61" s="9" t="e">
        <f>LOOKUP($B61,Aircrafts!$A$2:$A$1048576,Aircrafts!$B$2:$B$1048576)</f>
        <v>#N/A</v>
      </c>
      <c r="D61" s="10" t="e">
        <f>LOOKUP($B61,Aircrafts!$A$2:$A$1048576,Aircrafts!$C$2:$C$1048576)</f>
        <v>#N/A</v>
      </c>
      <c r="F61" s="10" t="e">
        <f>LOOKUP($E61,Aerodromes!$A$2:$A$1048576,Aerodromes!$B$2:$B$1048576)</f>
        <v>#N/A</v>
      </c>
      <c r="H61" s="10" t="e">
        <f>LOOKUP($G61,Aerodromes!$A$2:$A$1048576,Aerodromes!$B$2:$B$1048576)</f>
        <v>#N/A</v>
      </c>
      <c r="K61" s="13">
        <f t="shared" si="0"/>
        <v>0</v>
      </c>
      <c r="V61" s="34">
        <f>SUBTOTAL(9,$K$3:$K61)</f>
        <v>0</v>
      </c>
      <c r="W61" s="35">
        <f>SUBTOTAL(9,$R$3:$R61)</f>
        <v>0</v>
      </c>
      <c r="X61" s="36">
        <f>SUBTOTAL(9,$S$3:$S61)</f>
        <v>0</v>
      </c>
      <c r="Y61" s="23">
        <f>SUBTOTAL(9,$L$3:$L61)</f>
        <v>0</v>
      </c>
      <c r="Z61" s="10">
        <f>SUBTOTAL(9,$M$3:$M61)</f>
        <v>0</v>
      </c>
    </row>
    <row r="62" spans="3:26" x14ac:dyDescent="0.25">
      <c r="C62" s="9" t="e">
        <f>LOOKUP($B62,Aircrafts!$A$2:$A$1048576,Aircrafts!$B$2:$B$1048576)</f>
        <v>#N/A</v>
      </c>
      <c r="D62" s="10" t="e">
        <f>LOOKUP($B62,Aircrafts!$A$2:$A$1048576,Aircrafts!$C$2:$C$1048576)</f>
        <v>#N/A</v>
      </c>
      <c r="F62" s="10" t="e">
        <f>LOOKUP($E62,Aerodromes!$A$2:$A$1048576,Aerodromes!$B$2:$B$1048576)</f>
        <v>#N/A</v>
      </c>
      <c r="H62" s="10" t="e">
        <f>LOOKUP($G62,Aerodromes!$A$2:$A$1048576,Aerodromes!$B$2:$B$1048576)</f>
        <v>#N/A</v>
      </c>
      <c r="K62" s="13">
        <f t="shared" si="0"/>
        <v>0</v>
      </c>
      <c r="V62" s="34">
        <f>SUBTOTAL(9,$K$3:$K62)</f>
        <v>0</v>
      </c>
      <c r="W62" s="35">
        <f>SUBTOTAL(9,$R$3:$R62)</f>
        <v>0</v>
      </c>
      <c r="X62" s="36">
        <f>SUBTOTAL(9,$S$3:$S62)</f>
        <v>0</v>
      </c>
      <c r="Y62" s="23">
        <f>SUBTOTAL(9,$L$3:$L62)</f>
        <v>0</v>
      </c>
      <c r="Z62" s="10">
        <f>SUBTOTAL(9,$M$3:$M62)</f>
        <v>0</v>
      </c>
    </row>
    <row r="63" spans="3:26" x14ac:dyDescent="0.25">
      <c r="C63" s="9" t="e">
        <f>LOOKUP($B63,Aircrafts!$A$2:$A$1048576,Aircrafts!$B$2:$B$1048576)</f>
        <v>#N/A</v>
      </c>
      <c r="D63" s="10" t="e">
        <f>LOOKUP($B63,Aircrafts!$A$2:$A$1048576,Aircrafts!$C$2:$C$1048576)</f>
        <v>#N/A</v>
      </c>
      <c r="F63" s="10" t="e">
        <f>LOOKUP($E63,Aerodromes!$A$2:$A$1048576,Aerodromes!$B$2:$B$1048576)</f>
        <v>#N/A</v>
      </c>
      <c r="H63" s="10" t="e">
        <f>LOOKUP($G63,Aerodromes!$A$2:$A$1048576,Aerodromes!$B$2:$B$1048576)</f>
        <v>#N/A</v>
      </c>
      <c r="K63" s="13">
        <f t="shared" si="0"/>
        <v>0</v>
      </c>
      <c r="V63" s="34">
        <f>SUBTOTAL(9,$K$3:$K63)</f>
        <v>0</v>
      </c>
      <c r="W63" s="35">
        <f>SUBTOTAL(9,$R$3:$R63)</f>
        <v>0</v>
      </c>
      <c r="X63" s="36">
        <f>SUBTOTAL(9,$S$3:$S63)</f>
        <v>0</v>
      </c>
      <c r="Y63" s="23">
        <f>SUBTOTAL(9,$L$3:$L63)</f>
        <v>0</v>
      </c>
      <c r="Z63" s="10">
        <f>SUBTOTAL(9,$M$3:$M63)</f>
        <v>0</v>
      </c>
    </row>
    <row r="64" spans="3:26" x14ac:dyDescent="0.25">
      <c r="C64" s="9" t="e">
        <f>LOOKUP($B64,Aircrafts!$A$2:$A$1048576,Aircrafts!$B$2:$B$1048576)</f>
        <v>#N/A</v>
      </c>
      <c r="D64" s="10" t="e">
        <f>LOOKUP($B64,Aircrafts!$A$2:$A$1048576,Aircrafts!$C$2:$C$1048576)</f>
        <v>#N/A</v>
      </c>
      <c r="F64" s="10" t="e">
        <f>LOOKUP($E64,Aerodromes!$A$2:$A$1048576,Aerodromes!$B$2:$B$1048576)</f>
        <v>#N/A</v>
      </c>
      <c r="H64" s="10" t="e">
        <f>LOOKUP($G64,Aerodromes!$A$2:$A$1048576,Aerodromes!$B$2:$B$1048576)</f>
        <v>#N/A</v>
      </c>
      <c r="K64" s="13">
        <f t="shared" si="0"/>
        <v>0</v>
      </c>
      <c r="V64" s="34">
        <f>SUBTOTAL(9,$K$3:$K64)</f>
        <v>0</v>
      </c>
      <c r="W64" s="35">
        <f>SUBTOTAL(9,$R$3:$R64)</f>
        <v>0</v>
      </c>
      <c r="X64" s="36">
        <f>SUBTOTAL(9,$S$3:$S64)</f>
        <v>0</v>
      </c>
      <c r="Y64" s="23">
        <f>SUBTOTAL(9,$L$3:$L64)</f>
        <v>0</v>
      </c>
      <c r="Z64" s="10">
        <f>SUBTOTAL(9,$M$3:$M64)</f>
        <v>0</v>
      </c>
    </row>
    <row r="65" spans="3:26" x14ac:dyDescent="0.25">
      <c r="C65" s="9" t="e">
        <f>LOOKUP($B65,Aircrafts!$A$2:$A$1048576,Aircrafts!$B$2:$B$1048576)</f>
        <v>#N/A</v>
      </c>
      <c r="D65" s="10" t="e">
        <f>LOOKUP($B65,Aircrafts!$A$2:$A$1048576,Aircrafts!$C$2:$C$1048576)</f>
        <v>#N/A</v>
      </c>
      <c r="F65" s="10" t="e">
        <f>LOOKUP($E65,Aerodromes!$A$2:$A$1048576,Aerodromes!$B$2:$B$1048576)</f>
        <v>#N/A</v>
      </c>
      <c r="H65" s="10" t="e">
        <f>LOOKUP($G65,Aerodromes!$A$2:$A$1048576,Aerodromes!$B$2:$B$1048576)</f>
        <v>#N/A</v>
      </c>
      <c r="K65" s="13">
        <f t="shared" si="0"/>
        <v>0</v>
      </c>
      <c r="V65" s="34">
        <f>SUBTOTAL(9,$K$3:$K65)</f>
        <v>0</v>
      </c>
      <c r="W65" s="35">
        <f>SUBTOTAL(9,$R$3:$R65)</f>
        <v>0</v>
      </c>
      <c r="X65" s="36">
        <f>SUBTOTAL(9,$S$3:$S65)</f>
        <v>0</v>
      </c>
      <c r="Y65" s="23">
        <f>SUBTOTAL(9,$L$3:$L65)</f>
        <v>0</v>
      </c>
      <c r="Z65" s="10">
        <f>SUBTOTAL(9,$M$3:$M65)</f>
        <v>0</v>
      </c>
    </row>
    <row r="66" spans="3:26" x14ac:dyDescent="0.25">
      <c r="C66" s="9" t="e">
        <f>LOOKUP($B66,Aircrafts!$A$2:$A$1048576,Aircrafts!$B$2:$B$1048576)</f>
        <v>#N/A</v>
      </c>
      <c r="D66" s="10" t="e">
        <f>LOOKUP($B66,Aircrafts!$A$2:$A$1048576,Aircrafts!$C$2:$C$1048576)</f>
        <v>#N/A</v>
      </c>
      <c r="F66" s="10" t="e">
        <f>LOOKUP($E66,Aerodromes!$A$2:$A$1048576,Aerodromes!$B$2:$B$1048576)</f>
        <v>#N/A</v>
      </c>
      <c r="H66" s="10" t="e">
        <f>LOOKUP($G66,Aerodromes!$A$2:$A$1048576,Aerodromes!$B$2:$B$1048576)</f>
        <v>#N/A</v>
      </c>
      <c r="K66" s="13">
        <f t="shared" si="0"/>
        <v>0</v>
      </c>
      <c r="V66" s="34">
        <f>SUBTOTAL(9,$K$3:$K66)</f>
        <v>0</v>
      </c>
      <c r="W66" s="35">
        <f>SUBTOTAL(9,$R$3:$R66)</f>
        <v>0</v>
      </c>
      <c r="X66" s="36">
        <f>SUBTOTAL(9,$S$3:$S66)</f>
        <v>0</v>
      </c>
      <c r="Y66" s="23">
        <f>SUBTOTAL(9,$L$3:$L66)</f>
        <v>0</v>
      </c>
      <c r="Z66" s="10">
        <f>SUBTOTAL(9,$M$3:$M66)</f>
        <v>0</v>
      </c>
    </row>
    <row r="67" spans="3:26" x14ac:dyDescent="0.25">
      <c r="C67" s="9" t="e">
        <f>LOOKUP($B67,Aircrafts!$A$2:$A$1048576,Aircrafts!$B$2:$B$1048576)</f>
        <v>#N/A</v>
      </c>
      <c r="D67" s="10" t="e">
        <f>LOOKUP($B67,Aircrafts!$A$2:$A$1048576,Aircrafts!$C$2:$C$1048576)</f>
        <v>#N/A</v>
      </c>
      <c r="F67" s="10" t="e">
        <f>LOOKUP($E67,Aerodromes!$A$2:$A$1048576,Aerodromes!$B$2:$B$1048576)</f>
        <v>#N/A</v>
      </c>
      <c r="H67" s="10" t="e">
        <f>LOOKUP($G67,Aerodromes!$A$2:$A$1048576,Aerodromes!$B$2:$B$1048576)</f>
        <v>#N/A</v>
      </c>
      <c r="K67" s="13">
        <f t="shared" ref="K67:K130" si="1">IF($J67&gt;=$I67,$J67-$I67,1+$J67-$I67)</f>
        <v>0</v>
      </c>
      <c r="V67" s="34">
        <f>SUBTOTAL(9,$K$3:$K67)</f>
        <v>0</v>
      </c>
      <c r="W67" s="35">
        <f>SUBTOTAL(9,$R$3:$R67)</f>
        <v>0</v>
      </c>
      <c r="X67" s="36">
        <f>SUBTOTAL(9,$S$3:$S67)</f>
        <v>0</v>
      </c>
      <c r="Y67" s="23">
        <f>SUBTOTAL(9,$L$3:$L67)</f>
        <v>0</v>
      </c>
      <c r="Z67" s="10">
        <f>SUBTOTAL(9,$M$3:$M67)</f>
        <v>0</v>
      </c>
    </row>
    <row r="68" spans="3:26" x14ac:dyDescent="0.25">
      <c r="C68" s="9" t="e">
        <f>LOOKUP($B68,Aircrafts!$A$2:$A$1048576,Aircrafts!$B$2:$B$1048576)</f>
        <v>#N/A</v>
      </c>
      <c r="D68" s="10" t="e">
        <f>LOOKUP($B68,Aircrafts!$A$2:$A$1048576,Aircrafts!$C$2:$C$1048576)</f>
        <v>#N/A</v>
      </c>
      <c r="F68" s="10" t="e">
        <f>LOOKUP($E68,Aerodromes!$A$2:$A$1048576,Aerodromes!$B$2:$B$1048576)</f>
        <v>#N/A</v>
      </c>
      <c r="H68" s="10" t="e">
        <f>LOOKUP($G68,Aerodromes!$A$2:$A$1048576,Aerodromes!$B$2:$B$1048576)</f>
        <v>#N/A</v>
      </c>
      <c r="K68" s="13">
        <f t="shared" si="1"/>
        <v>0</v>
      </c>
      <c r="V68" s="34">
        <f>SUBTOTAL(9,$K$3:$K68)</f>
        <v>0</v>
      </c>
      <c r="W68" s="35">
        <f>SUBTOTAL(9,$R$3:$R68)</f>
        <v>0</v>
      </c>
      <c r="X68" s="36">
        <f>SUBTOTAL(9,$S$3:$S68)</f>
        <v>0</v>
      </c>
      <c r="Y68" s="23">
        <f>SUBTOTAL(9,$L$3:$L68)</f>
        <v>0</v>
      </c>
      <c r="Z68" s="10">
        <f>SUBTOTAL(9,$M$3:$M68)</f>
        <v>0</v>
      </c>
    </row>
    <row r="69" spans="3:26" x14ac:dyDescent="0.25">
      <c r="C69" s="9" t="e">
        <f>LOOKUP($B69,Aircrafts!$A$2:$A$1048576,Aircrafts!$B$2:$B$1048576)</f>
        <v>#N/A</v>
      </c>
      <c r="D69" s="10" t="e">
        <f>LOOKUP($B69,Aircrafts!$A$2:$A$1048576,Aircrafts!$C$2:$C$1048576)</f>
        <v>#N/A</v>
      </c>
      <c r="F69" s="10" t="e">
        <f>LOOKUP($E69,Aerodromes!$A$2:$A$1048576,Aerodromes!$B$2:$B$1048576)</f>
        <v>#N/A</v>
      </c>
      <c r="H69" s="10" t="e">
        <f>LOOKUP($G69,Aerodromes!$A$2:$A$1048576,Aerodromes!$B$2:$B$1048576)</f>
        <v>#N/A</v>
      </c>
      <c r="K69" s="13">
        <f t="shared" si="1"/>
        <v>0</v>
      </c>
      <c r="V69" s="34">
        <f>SUBTOTAL(9,$K$3:$K69)</f>
        <v>0</v>
      </c>
      <c r="W69" s="35">
        <f>SUBTOTAL(9,$R$3:$R69)</f>
        <v>0</v>
      </c>
      <c r="X69" s="36">
        <f>SUBTOTAL(9,$S$3:$S69)</f>
        <v>0</v>
      </c>
      <c r="Y69" s="23">
        <f>SUBTOTAL(9,$L$3:$L69)</f>
        <v>0</v>
      </c>
      <c r="Z69" s="10">
        <f>SUBTOTAL(9,$M$3:$M69)</f>
        <v>0</v>
      </c>
    </row>
    <row r="70" spans="3:26" x14ac:dyDescent="0.25">
      <c r="C70" s="9" t="e">
        <f>LOOKUP($B70,Aircrafts!$A$2:$A$1048576,Aircrafts!$B$2:$B$1048576)</f>
        <v>#N/A</v>
      </c>
      <c r="D70" s="10" t="e">
        <f>LOOKUP($B70,Aircrafts!$A$2:$A$1048576,Aircrafts!$C$2:$C$1048576)</f>
        <v>#N/A</v>
      </c>
      <c r="F70" s="10" t="e">
        <f>LOOKUP($E70,Aerodromes!$A$2:$A$1048576,Aerodromes!$B$2:$B$1048576)</f>
        <v>#N/A</v>
      </c>
      <c r="H70" s="10" t="e">
        <f>LOOKUP($G70,Aerodromes!$A$2:$A$1048576,Aerodromes!$B$2:$B$1048576)</f>
        <v>#N/A</v>
      </c>
      <c r="K70" s="13">
        <f t="shared" si="1"/>
        <v>0</v>
      </c>
      <c r="V70" s="34">
        <f>SUBTOTAL(9,$K$3:$K70)</f>
        <v>0</v>
      </c>
      <c r="W70" s="35">
        <f>SUBTOTAL(9,$R$3:$R70)</f>
        <v>0</v>
      </c>
      <c r="X70" s="36">
        <f>SUBTOTAL(9,$S$3:$S70)</f>
        <v>0</v>
      </c>
      <c r="Y70" s="23">
        <f>SUBTOTAL(9,$L$3:$L70)</f>
        <v>0</v>
      </c>
      <c r="Z70" s="10">
        <f>SUBTOTAL(9,$M$3:$M70)</f>
        <v>0</v>
      </c>
    </row>
    <row r="71" spans="3:26" x14ac:dyDescent="0.25">
      <c r="C71" s="9" t="e">
        <f>LOOKUP($B71,Aircrafts!$A$2:$A$1048576,Aircrafts!$B$2:$B$1048576)</f>
        <v>#N/A</v>
      </c>
      <c r="D71" s="10" t="e">
        <f>LOOKUP($B71,Aircrafts!$A$2:$A$1048576,Aircrafts!$C$2:$C$1048576)</f>
        <v>#N/A</v>
      </c>
      <c r="F71" s="10" t="e">
        <f>LOOKUP($E71,Aerodromes!$A$2:$A$1048576,Aerodromes!$B$2:$B$1048576)</f>
        <v>#N/A</v>
      </c>
      <c r="H71" s="10" t="e">
        <f>LOOKUP($G71,Aerodromes!$A$2:$A$1048576,Aerodromes!$B$2:$B$1048576)</f>
        <v>#N/A</v>
      </c>
      <c r="K71" s="13">
        <f t="shared" si="1"/>
        <v>0</v>
      </c>
      <c r="V71" s="34">
        <f>SUBTOTAL(9,$K$3:$K71)</f>
        <v>0</v>
      </c>
      <c r="W71" s="35">
        <f>SUBTOTAL(9,$R$3:$R71)</f>
        <v>0</v>
      </c>
      <c r="X71" s="36">
        <f>SUBTOTAL(9,$S$3:$S71)</f>
        <v>0</v>
      </c>
      <c r="Y71" s="23">
        <f>SUBTOTAL(9,$L$3:$L71)</f>
        <v>0</v>
      </c>
      <c r="Z71" s="10">
        <f>SUBTOTAL(9,$M$3:$M71)</f>
        <v>0</v>
      </c>
    </row>
    <row r="72" spans="3:26" x14ac:dyDescent="0.25">
      <c r="C72" s="9" t="e">
        <f>LOOKUP($B72,Aircrafts!$A$2:$A$1048576,Aircrafts!$B$2:$B$1048576)</f>
        <v>#N/A</v>
      </c>
      <c r="D72" s="10" t="e">
        <f>LOOKUP($B72,Aircrafts!$A$2:$A$1048576,Aircrafts!$C$2:$C$1048576)</f>
        <v>#N/A</v>
      </c>
      <c r="F72" s="10" t="e">
        <f>LOOKUP($E72,Aerodromes!$A$2:$A$1048576,Aerodromes!$B$2:$B$1048576)</f>
        <v>#N/A</v>
      </c>
      <c r="H72" s="10" t="e">
        <f>LOOKUP($G72,Aerodromes!$A$2:$A$1048576,Aerodromes!$B$2:$B$1048576)</f>
        <v>#N/A</v>
      </c>
      <c r="K72" s="13">
        <f t="shared" si="1"/>
        <v>0</v>
      </c>
      <c r="V72" s="34">
        <f>SUBTOTAL(9,$K$3:$K72)</f>
        <v>0</v>
      </c>
      <c r="W72" s="35">
        <f>SUBTOTAL(9,$R$3:$R72)</f>
        <v>0</v>
      </c>
      <c r="X72" s="36">
        <f>SUBTOTAL(9,$S$3:$S72)</f>
        <v>0</v>
      </c>
      <c r="Y72" s="23">
        <f>SUBTOTAL(9,$L$3:$L72)</f>
        <v>0</v>
      </c>
      <c r="Z72" s="10">
        <f>SUBTOTAL(9,$M$3:$M72)</f>
        <v>0</v>
      </c>
    </row>
    <row r="73" spans="3:26" x14ac:dyDescent="0.25">
      <c r="C73" s="9" t="e">
        <f>LOOKUP($B73,Aircrafts!$A$2:$A$1048576,Aircrafts!$B$2:$B$1048576)</f>
        <v>#N/A</v>
      </c>
      <c r="D73" s="10" t="e">
        <f>LOOKUP($B73,Aircrafts!$A$2:$A$1048576,Aircrafts!$C$2:$C$1048576)</f>
        <v>#N/A</v>
      </c>
      <c r="F73" s="10" t="e">
        <f>LOOKUP($E73,Aerodromes!$A$2:$A$1048576,Aerodromes!$B$2:$B$1048576)</f>
        <v>#N/A</v>
      </c>
      <c r="H73" s="10" t="e">
        <f>LOOKUP($G73,Aerodromes!$A$2:$A$1048576,Aerodromes!$B$2:$B$1048576)</f>
        <v>#N/A</v>
      </c>
      <c r="K73" s="13">
        <f t="shared" si="1"/>
        <v>0</v>
      </c>
      <c r="V73" s="34">
        <f>SUBTOTAL(9,$K$3:$K73)</f>
        <v>0</v>
      </c>
      <c r="W73" s="35">
        <f>SUBTOTAL(9,$R$3:$R73)</f>
        <v>0</v>
      </c>
      <c r="X73" s="36">
        <f>SUBTOTAL(9,$S$3:$S73)</f>
        <v>0</v>
      </c>
      <c r="Y73" s="23">
        <f>SUBTOTAL(9,$L$3:$L73)</f>
        <v>0</v>
      </c>
      <c r="Z73" s="10">
        <f>SUBTOTAL(9,$M$3:$M73)</f>
        <v>0</v>
      </c>
    </row>
    <row r="74" spans="3:26" x14ac:dyDescent="0.25">
      <c r="C74" s="9" t="e">
        <f>LOOKUP($B74,Aircrafts!$A$2:$A$1048576,Aircrafts!$B$2:$B$1048576)</f>
        <v>#N/A</v>
      </c>
      <c r="D74" s="10" t="e">
        <f>LOOKUP($B74,Aircrafts!$A$2:$A$1048576,Aircrafts!$C$2:$C$1048576)</f>
        <v>#N/A</v>
      </c>
      <c r="F74" s="10" t="e">
        <f>LOOKUP($E74,Aerodromes!$A$2:$A$1048576,Aerodromes!$B$2:$B$1048576)</f>
        <v>#N/A</v>
      </c>
      <c r="H74" s="10" t="e">
        <f>LOOKUP($G74,Aerodromes!$A$2:$A$1048576,Aerodromes!$B$2:$B$1048576)</f>
        <v>#N/A</v>
      </c>
      <c r="K74" s="13">
        <f t="shared" si="1"/>
        <v>0</v>
      </c>
      <c r="V74" s="34">
        <f>SUBTOTAL(9,$K$3:$K74)</f>
        <v>0</v>
      </c>
      <c r="W74" s="35">
        <f>SUBTOTAL(9,$R$3:$R74)</f>
        <v>0</v>
      </c>
      <c r="X74" s="36">
        <f>SUBTOTAL(9,$S$3:$S74)</f>
        <v>0</v>
      </c>
      <c r="Y74" s="23">
        <f>SUBTOTAL(9,$L$3:$L74)</f>
        <v>0</v>
      </c>
      <c r="Z74" s="10">
        <f>SUBTOTAL(9,$M$3:$M74)</f>
        <v>0</v>
      </c>
    </row>
    <row r="75" spans="3:26" x14ac:dyDescent="0.25">
      <c r="C75" s="9" t="e">
        <f>LOOKUP($B75,Aircrafts!$A$2:$A$1048576,Aircrafts!$B$2:$B$1048576)</f>
        <v>#N/A</v>
      </c>
      <c r="D75" s="10" t="e">
        <f>LOOKUP($B75,Aircrafts!$A$2:$A$1048576,Aircrafts!$C$2:$C$1048576)</f>
        <v>#N/A</v>
      </c>
      <c r="F75" s="10" t="e">
        <f>LOOKUP($E75,Aerodromes!$A$2:$A$1048576,Aerodromes!$B$2:$B$1048576)</f>
        <v>#N/A</v>
      </c>
      <c r="H75" s="10" t="e">
        <f>LOOKUP($G75,Aerodromes!$A$2:$A$1048576,Aerodromes!$B$2:$B$1048576)</f>
        <v>#N/A</v>
      </c>
      <c r="K75" s="13">
        <f t="shared" si="1"/>
        <v>0</v>
      </c>
      <c r="V75" s="34">
        <f>SUBTOTAL(9,$K$3:$K75)</f>
        <v>0</v>
      </c>
      <c r="W75" s="35">
        <f>SUBTOTAL(9,$R$3:$R75)</f>
        <v>0</v>
      </c>
      <c r="X75" s="36">
        <f>SUBTOTAL(9,$S$3:$S75)</f>
        <v>0</v>
      </c>
      <c r="Y75" s="23">
        <f>SUBTOTAL(9,$L$3:$L75)</f>
        <v>0</v>
      </c>
      <c r="Z75" s="10">
        <f>SUBTOTAL(9,$M$3:$M75)</f>
        <v>0</v>
      </c>
    </row>
    <row r="76" spans="3:26" x14ac:dyDescent="0.25">
      <c r="C76" s="9" t="e">
        <f>LOOKUP($B76,Aircrafts!$A$2:$A$1048576,Aircrafts!$B$2:$B$1048576)</f>
        <v>#N/A</v>
      </c>
      <c r="D76" s="10" t="e">
        <f>LOOKUP($B76,Aircrafts!$A$2:$A$1048576,Aircrafts!$C$2:$C$1048576)</f>
        <v>#N/A</v>
      </c>
      <c r="F76" s="10" t="e">
        <f>LOOKUP($E76,Aerodromes!$A$2:$A$1048576,Aerodromes!$B$2:$B$1048576)</f>
        <v>#N/A</v>
      </c>
      <c r="H76" s="10" t="e">
        <f>LOOKUP($G76,Aerodromes!$A$2:$A$1048576,Aerodromes!$B$2:$B$1048576)</f>
        <v>#N/A</v>
      </c>
      <c r="K76" s="13">
        <f t="shared" si="1"/>
        <v>0</v>
      </c>
      <c r="V76" s="34">
        <f>SUBTOTAL(9,$K$3:$K76)</f>
        <v>0</v>
      </c>
      <c r="W76" s="35">
        <f>SUBTOTAL(9,$R$3:$R76)</f>
        <v>0</v>
      </c>
      <c r="X76" s="36">
        <f>SUBTOTAL(9,$S$3:$S76)</f>
        <v>0</v>
      </c>
      <c r="Y76" s="23">
        <f>SUBTOTAL(9,$L$3:$L76)</f>
        <v>0</v>
      </c>
      <c r="Z76" s="10">
        <f>SUBTOTAL(9,$M$3:$M76)</f>
        <v>0</v>
      </c>
    </row>
    <row r="77" spans="3:26" x14ac:dyDescent="0.25">
      <c r="C77" s="9" t="e">
        <f>LOOKUP($B77,Aircrafts!$A$2:$A$1048576,Aircrafts!$B$2:$B$1048576)</f>
        <v>#N/A</v>
      </c>
      <c r="D77" s="10" t="e">
        <f>LOOKUP($B77,Aircrafts!$A$2:$A$1048576,Aircrafts!$C$2:$C$1048576)</f>
        <v>#N/A</v>
      </c>
      <c r="F77" s="10" t="e">
        <f>LOOKUP($E77,Aerodromes!$A$2:$A$1048576,Aerodromes!$B$2:$B$1048576)</f>
        <v>#N/A</v>
      </c>
      <c r="H77" s="10" t="e">
        <f>LOOKUP($G77,Aerodromes!$A$2:$A$1048576,Aerodromes!$B$2:$B$1048576)</f>
        <v>#N/A</v>
      </c>
      <c r="K77" s="13">
        <f t="shared" si="1"/>
        <v>0</v>
      </c>
      <c r="V77" s="34">
        <f>SUBTOTAL(9,$K$3:$K77)</f>
        <v>0</v>
      </c>
      <c r="W77" s="35">
        <f>SUBTOTAL(9,$R$3:$R77)</f>
        <v>0</v>
      </c>
      <c r="X77" s="36">
        <f>SUBTOTAL(9,$S$3:$S77)</f>
        <v>0</v>
      </c>
      <c r="Y77" s="23">
        <f>SUBTOTAL(9,$L$3:$L77)</f>
        <v>0</v>
      </c>
      <c r="Z77" s="10">
        <f>SUBTOTAL(9,$M$3:$M77)</f>
        <v>0</v>
      </c>
    </row>
    <row r="78" spans="3:26" x14ac:dyDescent="0.25">
      <c r="C78" s="9" t="e">
        <f>LOOKUP($B78,Aircrafts!$A$2:$A$1048576,Aircrafts!$B$2:$B$1048576)</f>
        <v>#N/A</v>
      </c>
      <c r="D78" s="10" t="e">
        <f>LOOKUP($B78,Aircrafts!$A$2:$A$1048576,Aircrafts!$C$2:$C$1048576)</f>
        <v>#N/A</v>
      </c>
      <c r="F78" s="10" t="e">
        <f>LOOKUP($E78,Aerodromes!$A$2:$A$1048576,Aerodromes!$B$2:$B$1048576)</f>
        <v>#N/A</v>
      </c>
      <c r="H78" s="10" t="e">
        <f>LOOKUP($G78,Aerodromes!$A$2:$A$1048576,Aerodromes!$B$2:$B$1048576)</f>
        <v>#N/A</v>
      </c>
      <c r="K78" s="13">
        <f t="shared" si="1"/>
        <v>0</v>
      </c>
      <c r="V78" s="34">
        <f>SUBTOTAL(9,$K$3:$K78)</f>
        <v>0</v>
      </c>
      <c r="W78" s="35">
        <f>SUBTOTAL(9,$R$3:$R78)</f>
        <v>0</v>
      </c>
      <c r="X78" s="36">
        <f>SUBTOTAL(9,$S$3:$S78)</f>
        <v>0</v>
      </c>
      <c r="Y78" s="23">
        <f>SUBTOTAL(9,$L$3:$L78)</f>
        <v>0</v>
      </c>
      <c r="Z78" s="10">
        <f>SUBTOTAL(9,$M$3:$M78)</f>
        <v>0</v>
      </c>
    </row>
    <row r="79" spans="3:26" x14ac:dyDescent="0.25">
      <c r="C79" s="9" t="e">
        <f>LOOKUP($B79,Aircrafts!$A$2:$A$1048576,Aircrafts!$B$2:$B$1048576)</f>
        <v>#N/A</v>
      </c>
      <c r="D79" s="10" t="e">
        <f>LOOKUP($B79,Aircrafts!$A$2:$A$1048576,Aircrafts!$C$2:$C$1048576)</f>
        <v>#N/A</v>
      </c>
      <c r="F79" s="10" t="e">
        <f>LOOKUP($E79,Aerodromes!$A$2:$A$1048576,Aerodromes!$B$2:$B$1048576)</f>
        <v>#N/A</v>
      </c>
      <c r="H79" s="10" t="e">
        <f>LOOKUP($G79,Aerodromes!$A$2:$A$1048576,Aerodromes!$B$2:$B$1048576)</f>
        <v>#N/A</v>
      </c>
      <c r="K79" s="13">
        <f t="shared" si="1"/>
        <v>0</v>
      </c>
      <c r="V79" s="34">
        <f>SUBTOTAL(9,$K$3:$K79)</f>
        <v>0</v>
      </c>
      <c r="W79" s="35">
        <f>SUBTOTAL(9,$R$3:$R79)</f>
        <v>0</v>
      </c>
      <c r="X79" s="36">
        <f>SUBTOTAL(9,$S$3:$S79)</f>
        <v>0</v>
      </c>
      <c r="Y79" s="23">
        <f>SUBTOTAL(9,$L$3:$L79)</f>
        <v>0</v>
      </c>
      <c r="Z79" s="10">
        <f>SUBTOTAL(9,$M$3:$M79)</f>
        <v>0</v>
      </c>
    </row>
    <row r="80" spans="3:26" x14ac:dyDescent="0.25">
      <c r="C80" s="9" t="e">
        <f>LOOKUP($B80,Aircrafts!$A$2:$A$1048576,Aircrafts!$B$2:$B$1048576)</f>
        <v>#N/A</v>
      </c>
      <c r="D80" s="10" t="e">
        <f>LOOKUP($B80,Aircrafts!$A$2:$A$1048576,Aircrafts!$C$2:$C$1048576)</f>
        <v>#N/A</v>
      </c>
      <c r="F80" s="10" t="e">
        <f>LOOKUP($E80,Aerodromes!$A$2:$A$1048576,Aerodromes!$B$2:$B$1048576)</f>
        <v>#N/A</v>
      </c>
      <c r="H80" s="10" t="e">
        <f>LOOKUP($G80,Aerodromes!$A$2:$A$1048576,Aerodromes!$B$2:$B$1048576)</f>
        <v>#N/A</v>
      </c>
      <c r="K80" s="13">
        <f t="shared" si="1"/>
        <v>0</v>
      </c>
      <c r="V80" s="34">
        <f>SUBTOTAL(9,$K$3:$K80)</f>
        <v>0</v>
      </c>
      <c r="W80" s="35">
        <f>SUBTOTAL(9,$R$3:$R80)</f>
        <v>0</v>
      </c>
      <c r="X80" s="36">
        <f>SUBTOTAL(9,$S$3:$S80)</f>
        <v>0</v>
      </c>
      <c r="Y80" s="23">
        <f>SUBTOTAL(9,$L$3:$L80)</f>
        <v>0</v>
      </c>
      <c r="Z80" s="10">
        <f>SUBTOTAL(9,$M$3:$M80)</f>
        <v>0</v>
      </c>
    </row>
    <row r="81" spans="3:26" x14ac:dyDescent="0.25">
      <c r="C81" s="9" t="e">
        <f>LOOKUP($B81,Aircrafts!$A$2:$A$1048576,Aircrafts!$B$2:$B$1048576)</f>
        <v>#N/A</v>
      </c>
      <c r="D81" s="10" t="e">
        <f>LOOKUP($B81,Aircrafts!$A$2:$A$1048576,Aircrafts!$C$2:$C$1048576)</f>
        <v>#N/A</v>
      </c>
      <c r="F81" s="10" t="e">
        <f>LOOKUP($E81,Aerodromes!$A$2:$A$1048576,Aerodromes!$B$2:$B$1048576)</f>
        <v>#N/A</v>
      </c>
      <c r="H81" s="10" t="e">
        <f>LOOKUP($G81,Aerodromes!$A$2:$A$1048576,Aerodromes!$B$2:$B$1048576)</f>
        <v>#N/A</v>
      </c>
      <c r="K81" s="13">
        <f t="shared" si="1"/>
        <v>0</v>
      </c>
      <c r="V81" s="34">
        <f>SUBTOTAL(9,$K$3:$K81)</f>
        <v>0</v>
      </c>
      <c r="W81" s="35">
        <f>SUBTOTAL(9,$R$3:$R81)</f>
        <v>0</v>
      </c>
      <c r="X81" s="36">
        <f>SUBTOTAL(9,$S$3:$S81)</f>
        <v>0</v>
      </c>
      <c r="Y81" s="23">
        <f>SUBTOTAL(9,$L$3:$L81)</f>
        <v>0</v>
      </c>
      <c r="Z81" s="10">
        <f>SUBTOTAL(9,$M$3:$M81)</f>
        <v>0</v>
      </c>
    </row>
    <row r="82" spans="3:26" x14ac:dyDescent="0.25">
      <c r="C82" s="9" t="e">
        <f>LOOKUP($B82,Aircrafts!$A$2:$A$1048576,Aircrafts!$B$2:$B$1048576)</f>
        <v>#N/A</v>
      </c>
      <c r="D82" s="10" t="e">
        <f>LOOKUP($B82,Aircrafts!$A$2:$A$1048576,Aircrafts!$C$2:$C$1048576)</f>
        <v>#N/A</v>
      </c>
      <c r="F82" s="10" t="e">
        <f>LOOKUP($E82,Aerodromes!$A$2:$A$1048576,Aerodromes!$B$2:$B$1048576)</f>
        <v>#N/A</v>
      </c>
      <c r="H82" s="10" t="e">
        <f>LOOKUP($G82,Aerodromes!$A$2:$A$1048576,Aerodromes!$B$2:$B$1048576)</f>
        <v>#N/A</v>
      </c>
      <c r="K82" s="13">
        <f t="shared" si="1"/>
        <v>0</v>
      </c>
      <c r="V82" s="34">
        <f>SUBTOTAL(9,$K$3:$K82)</f>
        <v>0</v>
      </c>
      <c r="W82" s="35">
        <f>SUBTOTAL(9,$R$3:$R82)</f>
        <v>0</v>
      </c>
      <c r="X82" s="36">
        <f>SUBTOTAL(9,$S$3:$S82)</f>
        <v>0</v>
      </c>
      <c r="Y82" s="23">
        <f>SUBTOTAL(9,$L$3:$L82)</f>
        <v>0</v>
      </c>
      <c r="Z82" s="10">
        <f>SUBTOTAL(9,$M$3:$M82)</f>
        <v>0</v>
      </c>
    </row>
    <row r="83" spans="3:26" x14ac:dyDescent="0.25">
      <c r="C83" s="9" t="e">
        <f>LOOKUP($B83,Aircrafts!$A$2:$A$1048576,Aircrafts!$B$2:$B$1048576)</f>
        <v>#N/A</v>
      </c>
      <c r="D83" s="10" t="e">
        <f>LOOKUP($B83,Aircrafts!$A$2:$A$1048576,Aircrafts!$C$2:$C$1048576)</f>
        <v>#N/A</v>
      </c>
      <c r="F83" s="10" t="e">
        <f>LOOKUP($E83,Aerodromes!$A$2:$A$1048576,Aerodromes!$B$2:$B$1048576)</f>
        <v>#N/A</v>
      </c>
      <c r="H83" s="10" t="e">
        <f>LOOKUP($G83,Aerodromes!$A$2:$A$1048576,Aerodromes!$B$2:$B$1048576)</f>
        <v>#N/A</v>
      </c>
      <c r="K83" s="13">
        <f t="shared" si="1"/>
        <v>0</v>
      </c>
      <c r="V83" s="34">
        <f>SUBTOTAL(9,$K$3:$K83)</f>
        <v>0</v>
      </c>
      <c r="W83" s="35">
        <f>SUBTOTAL(9,$R$3:$R83)</f>
        <v>0</v>
      </c>
      <c r="X83" s="36">
        <f>SUBTOTAL(9,$S$3:$S83)</f>
        <v>0</v>
      </c>
      <c r="Y83" s="23">
        <f>SUBTOTAL(9,$L$3:$L83)</f>
        <v>0</v>
      </c>
      <c r="Z83" s="10">
        <f>SUBTOTAL(9,$M$3:$M83)</f>
        <v>0</v>
      </c>
    </row>
    <row r="84" spans="3:26" x14ac:dyDescent="0.25">
      <c r="C84" s="9" t="e">
        <f>LOOKUP($B84,Aircrafts!$A$2:$A$1048576,Aircrafts!$B$2:$B$1048576)</f>
        <v>#N/A</v>
      </c>
      <c r="D84" s="10" t="e">
        <f>LOOKUP($B84,Aircrafts!$A$2:$A$1048576,Aircrafts!$C$2:$C$1048576)</f>
        <v>#N/A</v>
      </c>
      <c r="F84" s="10" t="e">
        <f>LOOKUP($E84,Aerodromes!$A$2:$A$1048576,Aerodromes!$B$2:$B$1048576)</f>
        <v>#N/A</v>
      </c>
      <c r="H84" s="10" t="e">
        <f>LOOKUP($G84,Aerodromes!$A$2:$A$1048576,Aerodromes!$B$2:$B$1048576)</f>
        <v>#N/A</v>
      </c>
      <c r="K84" s="13">
        <f t="shared" si="1"/>
        <v>0</v>
      </c>
      <c r="V84" s="34">
        <f>SUBTOTAL(9,$K$3:$K84)</f>
        <v>0</v>
      </c>
      <c r="W84" s="35">
        <f>SUBTOTAL(9,$R$3:$R84)</f>
        <v>0</v>
      </c>
      <c r="X84" s="36">
        <f>SUBTOTAL(9,$S$3:$S84)</f>
        <v>0</v>
      </c>
      <c r="Y84" s="23">
        <f>SUBTOTAL(9,$L$3:$L84)</f>
        <v>0</v>
      </c>
      <c r="Z84" s="10">
        <f>SUBTOTAL(9,$M$3:$M84)</f>
        <v>0</v>
      </c>
    </row>
    <row r="85" spans="3:26" x14ac:dyDescent="0.25">
      <c r="C85" s="9" t="e">
        <f>LOOKUP($B85,Aircrafts!$A$2:$A$1048576,Aircrafts!$B$2:$B$1048576)</f>
        <v>#N/A</v>
      </c>
      <c r="D85" s="10" t="e">
        <f>LOOKUP($B85,Aircrafts!$A$2:$A$1048576,Aircrafts!$C$2:$C$1048576)</f>
        <v>#N/A</v>
      </c>
      <c r="F85" s="10" t="e">
        <f>LOOKUP($E85,Aerodromes!$A$2:$A$1048576,Aerodromes!$B$2:$B$1048576)</f>
        <v>#N/A</v>
      </c>
      <c r="H85" s="10" t="e">
        <f>LOOKUP($G85,Aerodromes!$A$2:$A$1048576,Aerodromes!$B$2:$B$1048576)</f>
        <v>#N/A</v>
      </c>
      <c r="K85" s="13">
        <f t="shared" si="1"/>
        <v>0</v>
      </c>
      <c r="V85" s="34">
        <f>SUBTOTAL(9,$K$3:$K85)</f>
        <v>0</v>
      </c>
      <c r="W85" s="35">
        <f>SUBTOTAL(9,$R$3:$R85)</f>
        <v>0</v>
      </c>
      <c r="X85" s="36">
        <f>SUBTOTAL(9,$S$3:$S85)</f>
        <v>0</v>
      </c>
      <c r="Y85" s="23">
        <f>SUBTOTAL(9,$L$3:$L85)</f>
        <v>0</v>
      </c>
      <c r="Z85" s="10">
        <f>SUBTOTAL(9,$M$3:$M85)</f>
        <v>0</v>
      </c>
    </row>
    <row r="86" spans="3:26" x14ac:dyDescent="0.25">
      <c r="C86" s="9" t="e">
        <f>LOOKUP($B86,Aircrafts!$A$2:$A$1048576,Aircrafts!$B$2:$B$1048576)</f>
        <v>#N/A</v>
      </c>
      <c r="D86" s="10" t="e">
        <f>LOOKUP($B86,Aircrafts!$A$2:$A$1048576,Aircrafts!$C$2:$C$1048576)</f>
        <v>#N/A</v>
      </c>
      <c r="F86" s="10" t="e">
        <f>LOOKUP($E86,Aerodromes!$A$2:$A$1048576,Aerodromes!$B$2:$B$1048576)</f>
        <v>#N/A</v>
      </c>
      <c r="H86" s="10" t="e">
        <f>LOOKUP($G86,Aerodromes!$A$2:$A$1048576,Aerodromes!$B$2:$B$1048576)</f>
        <v>#N/A</v>
      </c>
      <c r="K86" s="13">
        <f t="shared" si="1"/>
        <v>0</v>
      </c>
      <c r="V86" s="34">
        <f>SUBTOTAL(9,$K$3:$K86)</f>
        <v>0</v>
      </c>
      <c r="W86" s="35">
        <f>SUBTOTAL(9,$R$3:$R86)</f>
        <v>0</v>
      </c>
      <c r="X86" s="36">
        <f>SUBTOTAL(9,$S$3:$S86)</f>
        <v>0</v>
      </c>
      <c r="Y86" s="23">
        <f>SUBTOTAL(9,$L$3:$L86)</f>
        <v>0</v>
      </c>
      <c r="Z86" s="10">
        <f>SUBTOTAL(9,$M$3:$M86)</f>
        <v>0</v>
      </c>
    </row>
    <row r="87" spans="3:26" x14ac:dyDescent="0.25">
      <c r="C87" s="9" t="e">
        <f>LOOKUP($B87,Aircrafts!$A$2:$A$1048576,Aircrafts!$B$2:$B$1048576)</f>
        <v>#N/A</v>
      </c>
      <c r="D87" s="10" t="e">
        <f>LOOKUP($B87,Aircrafts!$A$2:$A$1048576,Aircrafts!$C$2:$C$1048576)</f>
        <v>#N/A</v>
      </c>
      <c r="F87" s="10" t="e">
        <f>LOOKUP($E87,Aerodromes!$A$2:$A$1048576,Aerodromes!$B$2:$B$1048576)</f>
        <v>#N/A</v>
      </c>
      <c r="H87" s="10" t="e">
        <f>LOOKUP($G87,Aerodromes!$A$2:$A$1048576,Aerodromes!$B$2:$B$1048576)</f>
        <v>#N/A</v>
      </c>
      <c r="K87" s="13">
        <f t="shared" si="1"/>
        <v>0</v>
      </c>
      <c r="V87" s="34">
        <f>SUBTOTAL(9,$K$3:$K87)</f>
        <v>0</v>
      </c>
      <c r="W87" s="35">
        <f>SUBTOTAL(9,$R$3:$R87)</f>
        <v>0</v>
      </c>
      <c r="X87" s="36">
        <f>SUBTOTAL(9,$S$3:$S87)</f>
        <v>0</v>
      </c>
      <c r="Y87" s="23">
        <f>SUBTOTAL(9,$L$3:$L87)</f>
        <v>0</v>
      </c>
      <c r="Z87" s="10">
        <f>SUBTOTAL(9,$M$3:$M87)</f>
        <v>0</v>
      </c>
    </row>
    <row r="88" spans="3:26" x14ac:dyDescent="0.25">
      <c r="C88" s="9" t="e">
        <f>LOOKUP($B88,Aircrafts!$A$2:$A$1048576,Aircrafts!$B$2:$B$1048576)</f>
        <v>#N/A</v>
      </c>
      <c r="D88" s="10" t="e">
        <f>LOOKUP($B88,Aircrafts!$A$2:$A$1048576,Aircrafts!$C$2:$C$1048576)</f>
        <v>#N/A</v>
      </c>
      <c r="F88" s="10" t="e">
        <f>LOOKUP($E88,Aerodromes!$A$2:$A$1048576,Aerodromes!$B$2:$B$1048576)</f>
        <v>#N/A</v>
      </c>
      <c r="H88" s="10" t="e">
        <f>LOOKUP($G88,Aerodromes!$A$2:$A$1048576,Aerodromes!$B$2:$B$1048576)</f>
        <v>#N/A</v>
      </c>
      <c r="K88" s="13">
        <f t="shared" si="1"/>
        <v>0</v>
      </c>
      <c r="V88" s="34">
        <f>SUBTOTAL(9,$K$3:$K88)</f>
        <v>0</v>
      </c>
      <c r="W88" s="35">
        <f>SUBTOTAL(9,$R$3:$R88)</f>
        <v>0</v>
      </c>
      <c r="X88" s="36">
        <f>SUBTOTAL(9,$S$3:$S88)</f>
        <v>0</v>
      </c>
      <c r="Y88" s="23">
        <f>SUBTOTAL(9,$L$3:$L88)</f>
        <v>0</v>
      </c>
      <c r="Z88" s="10">
        <f>SUBTOTAL(9,$M$3:$M88)</f>
        <v>0</v>
      </c>
    </row>
    <row r="89" spans="3:26" x14ac:dyDescent="0.25">
      <c r="C89" s="9" t="e">
        <f>LOOKUP($B89,Aircrafts!$A$2:$A$1048576,Aircrafts!$B$2:$B$1048576)</f>
        <v>#N/A</v>
      </c>
      <c r="D89" s="10" t="e">
        <f>LOOKUP($B89,Aircrafts!$A$2:$A$1048576,Aircrafts!$C$2:$C$1048576)</f>
        <v>#N/A</v>
      </c>
      <c r="F89" s="10" t="e">
        <f>LOOKUP($E89,Aerodromes!$A$2:$A$1048576,Aerodromes!$B$2:$B$1048576)</f>
        <v>#N/A</v>
      </c>
      <c r="H89" s="10" t="e">
        <f>LOOKUP($G89,Aerodromes!$A$2:$A$1048576,Aerodromes!$B$2:$B$1048576)</f>
        <v>#N/A</v>
      </c>
      <c r="K89" s="13">
        <f t="shared" si="1"/>
        <v>0</v>
      </c>
      <c r="V89" s="34">
        <f>SUBTOTAL(9,$K$3:$K89)</f>
        <v>0</v>
      </c>
      <c r="W89" s="35">
        <f>SUBTOTAL(9,$R$3:$R89)</f>
        <v>0</v>
      </c>
      <c r="X89" s="36">
        <f>SUBTOTAL(9,$S$3:$S89)</f>
        <v>0</v>
      </c>
      <c r="Y89" s="23">
        <f>SUBTOTAL(9,$L$3:$L89)</f>
        <v>0</v>
      </c>
      <c r="Z89" s="10">
        <f>SUBTOTAL(9,$M$3:$M89)</f>
        <v>0</v>
      </c>
    </row>
    <row r="90" spans="3:26" x14ac:dyDescent="0.25">
      <c r="C90" s="9" t="e">
        <f>LOOKUP($B90,Aircrafts!$A$2:$A$1048576,Aircrafts!$B$2:$B$1048576)</f>
        <v>#N/A</v>
      </c>
      <c r="D90" s="10" t="e">
        <f>LOOKUP($B90,Aircrafts!$A$2:$A$1048576,Aircrafts!$C$2:$C$1048576)</f>
        <v>#N/A</v>
      </c>
      <c r="F90" s="10" t="e">
        <f>LOOKUP($E90,Aerodromes!$A$2:$A$1048576,Aerodromes!$B$2:$B$1048576)</f>
        <v>#N/A</v>
      </c>
      <c r="H90" s="10" t="e">
        <f>LOOKUP($G90,Aerodromes!$A$2:$A$1048576,Aerodromes!$B$2:$B$1048576)</f>
        <v>#N/A</v>
      </c>
      <c r="K90" s="13">
        <f t="shared" si="1"/>
        <v>0</v>
      </c>
      <c r="V90" s="34">
        <f>SUBTOTAL(9,$K$3:$K90)</f>
        <v>0</v>
      </c>
      <c r="W90" s="35">
        <f>SUBTOTAL(9,$R$3:$R90)</f>
        <v>0</v>
      </c>
      <c r="X90" s="36">
        <f>SUBTOTAL(9,$S$3:$S90)</f>
        <v>0</v>
      </c>
      <c r="Y90" s="23">
        <f>SUBTOTAL(9,$L$3:$L90)</f>
        <v>0</v>
      </c>
      <c r="Z90" s="10">
        <f>SUBTOTAL(9,$M$3:$M90)</f>
        <v>0</v>
      </c>
    </row>
    <row r="91" spans="3:26" x14ac:dyDescent="0.25">
      <c r="C91" s="9" t="e">
        <f>LOOKUP($B91,Aircrafts!$A$2:$A$1048576,Aircrafts!$B$2:$B$1048576)</f>
        <v>#N/A</v>
      </c>
      <c r="D91" s="10" t="e">
        <f>LOOKUP($B91,Aircrafts!$A$2:$A$1048576,Aircrafts!$C$2:$C$1048576)</f>
        <v>#N/A</v>
      </c>
      <c r="F91" s="10" t="e">
        <f>LOOKUP($E91,Aerodromes!$A$2:$A$1048576,Aerodromes!$B$2:$B$1048576)</f>
        <v>#N/A</v>
      </c>
      <c r="H91" s="10" t="e">
        <f>LOOKUP($G91,Aerodromes!$A$2:$A$1048576,Aerodromes!$B$2:$B$1048576)</f>
        <v>#N/A</v>
      </c>
      <c r="K91" s="13">
        <f t="shared" si="1"/>
        <v>0</v>
      </c>
      <c r="V91" s="34">
        <f>SUBTOTAL(9,$K$3:$K91)</f>
        <v>0</v>
      </c>
      <c r="W91" s="35">
        <f>SUBTOTAL(9,$R$3:$R91)</f>
        <v>0</v>
      </c>
      <c r="X91" s="36">
        <f>SUBTOTAL(9,$S$3:$S91)</f>
        <v>0</v>
      </c>
      <c r="Y91" s="23">
        <f>SUBTOTAL(9,$L$3:$L91)</f>
        <v>0</v>
      </c>
      <c r="Z91" s="10">
        <f>SUBTOTAL(9,$M$3:$M91)</f>
        <v>0</v>
      </c>
    </row>
    <row r="92" spans="3:26" x14ac:dyDescent="0.25">
      <c r="C92" s="9" t="e">
        <f>LOOKUP($B92,Aircrafts!$A$2:$A$1048576,Aircrafts!$B$2:$B$1048576)</f>
        <v>#N/A</v>
      </c>
      <c r="D92" s="10" t="e">
        <f>LOOKUP($B92,Aircrafts!$A$2:$A$1048576,Aircrafts!$C$2:$C$1048576)</f>
        <v>#N/A</v>
      </c>
      <c r="F92" s="10" t="e">
        <f>LOOKUP($E92,Aerodromes!$A$2:$A$1048576,Aerodromes!$B$2:$B$1048576)</f>
        <v>#N/A</v>
      </c>
      <c r="H92" s="10" t="e">
        <f>LOOKUP($G92,Aerodromes!$A$2:$A$1048576,Aerodromes!$B$2:$B$1048576)</f>
        <v>#N/A</v>
      </c>
      <c r="K92" s="13">
        <f t="shared" si="1"/>
        <v>0</v>
      </c>
      <c r="V92" s="34">
        <f>SUBTOTAL(9,$K$3:$K92)</f>
        <v>0</v>
      </c>
      <c r="W92" s="35">
        <f>SUBTOTAL(9,$R$3:$R92)</f>
        <v>0</v>
      </c>
      <c r="X92" s="36">
        <f>SUBTOTAL(9,$S$3:$S92)</f>
        <v>0</v>
      </c>
      <c r="Y92" s="23">
        <f>SUBTOTAL(9,$L$3:$L92)</f>
        <v>0</v>
      </c>
      <c r="Z92" s="10">
        <f>SUBTOTAL(9,$M$3:$M92)</f>
        <v>0</v>
      </c>
    </row>
    <row r="93" spans="3:26" x14ac:dyDescent="0.25">
      <c r="C93" s="9" t="e">
        <f>LOOKUP($B93,Aircrafts!$A$2:$A$1048576,Aircrafts!$B$2:$B$1048576)</f>
        <v>#N/A</v>
      </c>
      <c r="D93" s="10" t="e">
        <f>LOOKUP($B93,Aircrafts!$A$2:$A$1048576,Aircrafts!$C$2:$C$1048576)</f>
        <v>#N/A</v>
      </c>
      <c r="F93" s="10" t="e">
        <f>LOOKUP($E93,Aerodromes!$A$2:$A$1048576,Aerodromes!$B$2:$B$1048576)</f>
        <v>#N/A</v>
      </c>
      <c r="H93" s="10" t="e">
        <f>LOOKUP($G93,Aerodromes!$A$2:$A$1048576,Aerodromes!$B$2:$B$1048576)</f>
        <v>#N/A</v>
      </c>
      <c r="K93" s="13">
        <f t="shared" si="1"/>
        <v>0</v>
      </c>
      <c r="V93" s="34">
        <f>SUBTOTAL(9,$K$3:$K93)</f>
        <v>0</v>
      </c>
      <c r="W93" s="35">
        <f>SUBTOTAL(9,$R$3:$R93)</f>
        <v>0</v>
      </c>
      <c r="X93" s="36">
        <f>SUBTOTAL(9,$S$3:$S93)</f>
        <v>0</v>
      </c>
      <c r="Y93" s="23">
        <f>SUBTOTAL(9,$L$3:$L93)</f>
        <v>0</v>
      </c>
      <c r="Z93" s="10">
        <f>SUBTOTAL(9,$M$3:$M93)</f>
        <v>0</v>
      </c>
    </row>
    <row r="94" spans="3:26" x14ac:dyDescent="0.25">
      <c r="C94" s="9" t="e">
        <f>LOOKUP($B94,Aircrafts!$A$2:$A$1048576,Aircrafts!$B$2:$B$1048576)</f>
        <v>#N/A</v>
      </c>
      <c r="D94" s="10" t="e">
        <f>LOOKUP($B94,Aircrafts!$A$2:$A$1048576,Aircrafts!$C$2:$C$1048576)</f>
        <v>#N/A</v>
      </c>
      <c r="F94" s="10" t="e">
        <f>LOOKUP($E94,Aerodromes!$A$2:$A$1048576,Aerodromes!$B$2:$B$1048576)</f>
        <v>#N/A</v>
      </c>
      <c r="H94" s="10" t="e">
        <f>LOOKUP($G94,Aerodromes!$A$2:$A$1048576,Aerodromes!$B$2:$B$1048576)</f>
        <v>#N/A</v>
      </c>
      <c r="K94" s="13">
        <f t="shared" si="1"/>
        <v>0</v>
      </c>
      <c r="V94" s="34">
        <f>SUBTOTAL(9,$K$3:$K94)</f>
        <v>0</v>
      </c>
      <c r="W94" s="35">
        <f>SUBTOTAL(9,$R$3:$R94)</f>
        <v>0</v>
      </c>
      <c r="X94" s="36">
        <f>SUBTOTAL(9,$S$3:$S94)</f>
        <v>0</v>
      </c>
      <c r="Y94" s="23">
        <f>SUBTOTAL(9,$L$3:$L94)</f>
        <v>0</v>
      </c>
      <c r="Z94" s="10">
        <f>SUBTOTAL(9,$M$3:$M94)</f>
        <v>0</v>
      </c>
    </row>
    <row r="95" spans="3:26" x14ac:dyDescent="0.25">
      <c r="C95" s="9" t="e">
        <f>LOOKUP($B95,Aircrafts!$A$2:$A$1048576,Aircrafts!$B$2:$B$1048576)</f>
        <v>#N/A</v>
      </c>
      <c r="D95" s="10" t="e">
        <f>LOOKUP($B95,Aircrafts!$A$2:$A$1048576,Aircrafts!$C$2:$C$1048576)</f>
        <v>#N/A</v>
      </c>
      <c r="F95" s="10" t="e">
        <f>LOOKUP($E95,Aerodromes!$A$2:$A$1048576,Aerodromes!$B$2:$B$1048576)</f>
        <v>#N/A</v>
      </c>
      <c r="H95" s="10" t="e">
        <f>LOOKUP($G95,Aerodromes!$A$2:$A$1048576,Aerodromes!$B$2:$B$1048576)</f>
        <v>#N/A</v>
      </c>
      <c r="K95" s="13">
        <f t="shared" si="1"/>
        <v>0</v>
      </c>
      <c r="V95" s="34">
        <f>SUBTOTAL(9,$K$3:$K95)</f>
        <v>0</v>
      </c>
      <c r="W95" s="35">
        <f>SUBTOTAL(9,$R$3:$R95)</f>
        <v>0</v>
      </c>
      <c r="X95" s="36">
        <f>SUBTOTAL(9,$S$3:$S95)</f>
        <v>0</v>
      </c>
      <c r="Y95" s="23">
        <f>SUBTOTAL(9,$L$3:$L95)</f>
        <v>0</v>
      </c>
      <c r="Z95" s="10">
        <f>SUBTOTAL(9,$M$3:$M95)</f>
        <v>0</v>
      </c>
    </row>
    <row r="96" spans="3:26" x14ac:dyDescent="0.25">
      <c r="C96" s="9" t="e">
        <f>LOOKUP($B96,Aircrafts!$A$2:$A$1048576,Aircrafts!$B$2:$B$1048576)</f>
        <v>#N/A</v>
      </c>
      <c r="D96" s="10" t="e">
        <f>LOOKUP($B96,Aircrafts!$A$2:$A$1048576,Aircrafts!$C$2:$C$1048576)</f>
        <v>#N/A</v>
      </c>
      <c r="F96" s="10" t="e">
        <f>LOOKUP($E96,Aerodromes!$A$2:$A$1048576,Aerodromes!$B$2:$B$1048576)</f>
        <v>#N/A</v>
      </c>
      <c r="H96" s="10" t="e">
        <f>LOOKUP($G96,Aerodromes!$A$2:$A$1048576,Aerodromes!$B$2:$B$1048576)</f>
        <v>#N/A</v>
      </c>
      <c r="K96" s="13">
        <f t="shared" si="1"/>
        <v>0</v>
      </c>
      <c r="V96" s="34">
        <f>SUBTOTAL(9,$K$3:$K96)</f>
        <v>0</v>
      </c>
      <c r="W96" s="35">
        <f>SUBTOTAL(9,$R$3:$R96)</f>
        <v>0</v>
      </c>
      <c r="X96" s="36">
        <f>SUBTOTAL(9,$S$3:$S96)</f>
        <v>0</v>
      </c>
      <c r="Y96" s="23">
        <f>SUBTOTAL(9,$L$3:$L96)</f>
        <v>0</v>
      </c>
      <c r="Z96" s="10">
        <f>SUBTOTAL(9,$M$3:$M96)</f>
        <v>0</v>
      </c>
    </row>
    <row r="97" spans="3:26" x14ac:dyDescent="0.25">
      <c r="C97" s="9" t="e">
        <f>LOOKUP($B97,Aircrafts!$A$2:$A$1048576,Aircrafts!$B$2:$B$1048576)</f>
        <v>#N/A</v>
      </c>
      <c r="D97" s="10" t="e">
        <f>LOOKUP($B97,Aircrafts!$A$2:$A$1048576,Aircrafts!$C$2:$C$1048576)</f>
        <v>#N/A</v>
      </c>
      <c r="F97" s="10" t="e">
        <f>LOOKUP($E97,Aerodromes!$A$2:$A$1048576,Aerodromes!$B$2:$B$1048576)</f>
        <v>#N/A</v>
      </c>
      <c r="H97" s="10" t="e">
        <f>LOOKUP($G97,Aerodromes!$A$2:$A$1048576,Aerodromes!$B$2:$B$1048576)</f>
        <v>#N/A</v>
      </c>
      <c r="K97" s="13">
        <f t="shared" si="1"/>
        <v>0</v>
      </c>
      <c r="V97" s="34">
        <f>SUBTOTAL(9,$K$3:$K97)</f>
        <v>0</v>
      </c>
      <c r="W97" s="35">
        <f>SUBTOTAL(9,$R$3:$R97)</f>
        <v>0</v>
      </c>
      <c r="X97" s="36">
        <f>SUBTOTAL(9,$S$3:$S97)</f>
        <v>0</v>
      </c>
      <c r="Y97" s="23">
        <f>SUBTOTAL(9,$L$3:$L97)</f>
        <v>0</v>
      </c>
      <c r="Z97" s="10">
        <f>SUBTOTAL(9,$M$3:$M97)</f>
        <v>0</v>
      </c>
    </row>
    <row r="98" spans="3:26" x14ac:dyDescent="0.25">
      <c r="C98" s="9" t="e">
        <f>LOOKUP($B98,Aircrafts!$A$2:$A$1048576,Aircrafts!$B$2:$B$1048576)</f>
        <v>#N/A</v>
      </c>
      <c r="D98" s="10" t="e">
        <f>LOOKUP($B98,Aircrafts!$A$2:$A$1048576,Aircrafts!$C$2:$C$1048576)</f>
        <v>#N/A</v>
      </c>
      <c r="F98" s="10" t="e">
        <f>LOOKUP($E98,Aerodromes!$A$2:$A$1048576,Aerodromes!$B$2:$B$1048576)</f>
        <v>#N/A</v>
      </c>
      <c r="H98" s="10" t="e">
        <f>LOOKUP($G98,Aerodromes!$A$2:$A$1048576,Aerodromes!$B$2:$B$1048576)</f>
        <v>#N/A</v>
      </c>
      <c r="K98" s="13">
        <f t="shared" si="1"/>
        <v>0</v>
      </c>
      <c r="V98" s="34">
        <f>SUBTOTAL(9,$K$3:$K98)</f>
        <v>0</v>
      </c>
      <c r="W98" s="35">
        <f>SUBTOTAL(9,$R$3:$R98)</f>
        <v>0</v>
      </c>
      <c r="X98" s="36">
        <f>SUBTOTAL(9,$S$3:$S98)</f>
        <v>0</v>
      </c>
      <c r="Y98" s="23">
        <f>SUBTOTAL(9,$L$3:$L98)</f>
        <v>0</v>
      </c>
      <c r="Z98" s="10">
        <f>SUBTOTAL(9,$M$3:$M98)</f>
        <v>0</v>
      </c>
    </row>
    <row r="99" spans="3:26" x14ac:dyDescent="0.25">
      <c r="C99" s="9" t="e">
        <f>LOOKUP($B99,Aircrafts!$A$2:$A$1048576,Aircrafts!$B$2:$B$1048576)</f>
        <v>#N/A</v>
      </c>
      <c r="D99" s="10" t="e">
        <f>LOOKUP($B99,Aircrafts!$A$2:$A$1048576,Aircrafts!$C$2:$C$1048576)</f>
        <v>#N/A</v>
      </c>
      <c r="F99" s="10" t="e">
        <f>LOOKUP($E99,Aerodromes!$A$2:$A$1048576,Aerodromes!$B$2:$B$1048576)</f>
        <v>#N/A</v>
      </c>
      <c r="H99" s="10" t="e">
        <f>LOOKUP($G99,Aerodromes!$A$2:$A$1048576,Aerodromes!$B$2:$B$1048576)</f>
        <v>#N/A</v>
      </c>
      <c r="K99" s="13">
        <f t="shared" si="1"/>
        <v>0</v>
      </c>
      <c r="V99" s="34">
        <f>SUBTOTAL(9,$K$3:$K99)</f>
        <v>0</v>
      </c>
      <c r="W99" s="35">
        <f>SUBTOTAL(9,$R$3:$R99)</f>
        <v>0</v>
      </c>
      <c r="X99" s="36">
        <f>SUBTOTAL(9,$S$3:$S99)</f>
        <v>0</v>
      </c>
      <c r="Y99" s="23">
        <f>SUBTOTAL(9,$L$3:$L99)</f>
        <v>0</v>
      </c>
      <c r="Z99" s="10">
        <f>SUBTOTAL(9,$M$3:$M99)</f>
        <v>0</v>
      </c>
    </row>
    <row r="100" spans="3:26" x14ac:dyDescent="0.25">
      <c r="C100" s="9" t="e">
        <f>LOOKUP($B100,Aircrafts!$A$2:$A$1048576,Aircrafts!$B$2:$B$1048576)</f>
        <v>#N/A</v>
      </c>
      <c r="D100" s="10" t="e">
        <f>LOOKUP($B100,Aircrafts!$A$2:$A$1048576,Aircrafts!$C$2:$C$1048576)</f>
        <v>#N/A</v>
      </c>
      <c r="F100" s="10" t="e">
        <f>LOOKUP($E100,Aerodromes!$A$2:$A$1048576,Aerodromes!$B$2:$B$1048576)</f>
        <v>#N/A</v>
      </c>
      <c r="H100" s="10" t="e">
        <f>LOOKUP($G100,Aerodromes!$A$2:$A$1048576,Aerodromes!$B$2:$B$1048576)</f>
        <v>#N/A</v>
      </c>
      <c r="K100" s="13">
        <f t="shared" si="1"/>
        <v>0</v>
      </c>
      <c r="V100" s="34">
        <f>SUBTOTAL(9,$K$3:$K100)</f>
        <v>0</v>
      </c>
      <c r="W100" s="35">
        <f>SUBTOTAL(9,$R$3:$R100)</f>
        <v>0</v>
      </c>
      <c r="X100" s="36">
        <f>SUBTOTAL(9,$S$3:$S100)</f>
        <v>0</v>
      </c>
      <c r="Y100" s="23">
        <f>SUBTOTAL(9,$L$3:$L100)</f>
        <v>0</v>
      </c>
      <c r="Z100" s="10">
        <f>SUBTOTAL(9,$M$3:$M100)</f>
        <v>0</v>
      </c>
    </row>
    <row r="101" spans="3:26" x14ac:dyDescent="0.25">
      <c r="C101" s="9" t="e">
        <f>LOOKUP($B101,Aircrafts!$A$2:$A$1048576,Aircrafts!$B$2:$B$1048576)</f>
        <v>#N/A</v>
      </c>
      <c r="D101" s="10" t="e">
        <f>LOOKUP($B101,Aircrafts!$A$2:$A$1048576,Aircrafts!$C$2:$C$1048576)</f>
        <v>#N/A</v>
      </c>
      <c r="F101" s="10" t="e">
        <f>LOOKUP($E101,Aerodromes!$A$2:$A$1048576,Aerodromes!$B$2:$B$1048576)</f>
        <v>#N/A</v>
      </c>
      <c r="H101" s="10" t="e">
        <f>LOOKUP($G101,Aerodromes!$A$2:$A$1048576,Aerodromes!$B$2:$B$1048576)</f>
        <v>#N/A</v>
      </c>
      <c r="K101" s="13">
        <f t="shared" si="1"/>
        <v>0</v>
      </c>
      <c r="V101" s="34">
        <f>SUBTOTAL(9,$K$3:$K101)</f>
        <v>0</v>
      </c>
      <c r="W101" s="35">
        <f>SUBTOTAL(9,$R$3:$R101)</f>
        <v>0</v>
      </c>
      <c r="X101" s="36">
        <f>SUBTOTAL(9,$S$3:$S101)</f>
        <v>0</v>
      </c>
      <c r="Y101" s="23">
        <f>SUBTOTAL(9,$L$3:$L101)</f>
        <v>0</v>
      </c>
      <c r="Z101" s="10">
        <f>SUBTOTAL(9,$M$3:$M101)</f>
        <v>0</v>
      </c>
    </row>
    <row r="102" spans="3:26" x14ac:dyDescent="0.25">
      <c r="C102" s="9" t="e">
        <f>LOOKUP($B102,Aircrafts!$A$2:$A$1048576,Aircrafts!$B$2:$B$1048576)</f>
        <v>#N/A</v>
      </c>
      <c r="D102" s="10" t="e">
        <f>LOOKUP($B102,Aircrafts!$A$2:$A$1048576,Aircrafts!$C$2:$C$1048576)</f>
        <v>#N/A</v>
      </c>
      <c r="F102" s="10" t="e">
        <f>LOOKUP($E102,Aerodromes!$A$2:$A$1048576,Aerodromes!$B$2:$B$1048576)</f>
        <v>#N/A</v>
      </c>
      <c r="H102" s="10" t="e">
        <f>LOOKUP($G102,Aerodromes!$A$2:$A$1048576,Aerodromes!$B$2:$B$1048576)</f>
        <v>#N/A</v>
      </c>
      <c r="K102" s="13">
        <f t="shared" si="1"/>
        <v>0</v>
      </c>
      <c r="V102" s="34">
        <f>SUBTOTAL(9,$K$3:$K102)</f>
        <v>0</v>
      </c>
      <c r="W102" s="35">
        <f>SUBTOTAL(9,$R$3:$R102)</f>
        <v>0</v>
      </c>
      <c r="X102" s="36">
        <f>SUBTOTAL(9,$S$3:$S102)</f>
        <v>0</v>
      </c>
      <c r="Y102" s="23">
        <f>SUBTOTAL(9,$L$3:$L102)</f>
        <v>0</v>
      </c>
      <c r="Z102" s="10">
        <f>SUBTOTAL(9,$M$3:$M102)</f>
        <v>0</v>
      </c>
    </row>
    <row r="103" spans="3:26" x14ac:dyDescent="0.25">
      <c r="C103" s="9" t="e">
        <f>LOOKUP($B103,Aircrafts!$A$2:$A$1048576,Aircrafts!$B$2:$B$1048576)</f>
        <v>#N/A</v>
      </c>
      <c r="D103" s="10" t="e">
        <f>LOOKUP($B103,Aircrafts!$A$2:$A$1048576,Aircrafts!$C$2:$C$1048576)</f>
        <v>#N/A</v>
      </c>
      <c r="F103" s="10" t="e">
        <f>LOOKUP($E103,Aerodromes!$A$2:$A$1048576,Aerodromes!$B$2:$B$1048576)</f>
        <v>#N/A</v>
      </c>
      <c r="H103" s="10" t="e">
        <f>LOOKUP($G103,Aerodromes!$A$2:$A$1048576,Aerodromes!$B$2:$B$1048576)</f>
        <v>#N/A</v>
      </c>
      <c r="K103" s="13">
        <f t="shared" si="1"/>
        <v>0</v>
      </c>
      <c r="V103" s="34">
        <f>SUBTOTAL(9,$K$3:$K103)</f>
        <v>0</v>
      </c>
      <c r="W103" s="35">
        <f>SUBTOTAL(9,$R$3:$R103)</f>
        <v>0</v>
      </c>
      <c r="X103" s="36">
        <f>SUBTOTAL(9,$S$3:$S103)</f>
        <v>0</v>
      </c>
      <c r="Y103" s="23">
        <f>SUBTOTAL(9,$L$3:$L103)</f>
        <v>0</v>
      </c>
      <c r="Z103" s="10">
        <f>SUBTOTAL(9,$M$3:$M103)</f>
        <v>0</v>
      </c>
    </row>
    <row r="104" spans="3:26" x14ac:dyDescent="0.25">
      <c r="C104" s="9" t="e">
        <f>LOOKUP($B104,Aircrafts!$A$2:$A$1048576,Aircrafts!$B$2:$B$1048576)</f>
        <v>#N/A</v>
      </c>
      <c r="D104" s="10" t="e">
        <f>LOOKUP($B104,Aircrafts!$A$2:$A$1048576,Aircrafts!$C$2:$C$1048576)</f>
        <v>#N/A</v>
      </c>
      <c r="F104" s="10" t="e">
        <f>LOOKUP($E104,Aerodromes!$A$2:$A$1048576,Aerodromes!$B$2:$B$1048576)</f>
        <v>#N/A</v>
      </c>
      <c r="H104" s="10" t="e">
        <f>LOOKUP($G104,Aerodromes!$A$2:$A$1048576,Aerodromes!$B$2:$B$1048576)</f>
        <v>#N/A</v>
      </c>
      <c r="K104" s="13">
        <f t="shared" si="1"/>
        <v>0</v>
      </c>
      <c r="V104" s="34">
        <f>SUBTOTAL(9,$K$3:$K104)</f>
        <v>0</v>
      </c>
      <c r="W104" s="35">
        <f>SUBTOTAL(9,$R$3:$R104)</f>
        <v>0</v>
      </c>
      <c r="X104" s="36">
        <f>SUBTOTAL(9,$S$3:$S104)</f>
        <v>0</v>
      </c>
      <c r="Y104" s="23">
        <f>SUBTOTAL(9,$L$3:$L104)</f>
        <v>0</v>
      </c>
      <c r="Z104" s="10">
        <f>SUBTOTAL(9,$M$3:$M104)</f>
        <v>0</v>
      </c>
    </row>
    <row r="105" spans="3:26" x14ac:dyDescent="0.25">
      <c r="C105" s="9" t="e">
        <f>LOOKUP($B105,Aircrafts!$A$2:$A$1048576,Aircrafts!$B$2:$B$1048576)</f>
        <v>#N/A</v>
      </c>
      <c r="D105" s="10" t="e">
        <f>LOOKUP($B105,Aircrafts!$A$2:$A$1048576,Aircrafts!$C$2:$C$1048576)</f>
        <v>#N/A</v>
      </c>
      <c r="F105" s="10" t="e">
        <f>LOOKUP($E105,Aerodromes!$A$2:$A$1048576,Aerodromes!$B$2:$B$1048576)</f>
        <v>#N/A</v>
      </c>
      <c r="H105" s="10" t="e">
        <f>LOOKUP($G105,Aerodromes!$A$2:$A$1048576,Aerodromes!$B$2:$B$1048576)</f>
        <v>#N/A</v>
      </c>
      <c r="K105" s="13">
        <f t="shared" si="1"/>
        <v>0</v>
      </c>
      <c r="V105" s="34">
        <f>SUBTOTAL(9,$K$3:$K105)</f>
        <v>0</v>
      </c>
      <c r="W105" s="35">
        <f>SUBTOTAL(9,$R$3:$R105)</f>
        <v>0</v>
      </c>
      <c r="X105" s="36">
        <f>SUBTOTAL(9,$S$3:$S105)</f>
        <v>0</v>
      </c>
      <c r="Y105" s="23">
        <f>SUBTOTAL(9,$L$3:$L105)</f>
        <v>0</v>
      </c>
      <c r="Z105" s="10">
        <f>SUBTOTAL(9,$M$3:$M105)</f>
        <v>0</v>
      </c>
    </row>
    <row r="106" spans="3:26" x14ac:dyDescent="0.25">
      <c r="C106" s="9" t="e">
        <f>LOOKUP($B106,Aircrafts!$A$2:$A$1048576,Aircrafts!$B$2:$B$1048576)</f>
        <v>#N/A</v>
      </c>
      <c r="D106" s="10" t="e">
        <f>LOOKUP($B106,Aircrafts!$A$2:$A$1048576,Aircrafts!$C$2:$C$1048576)</f>
        <v>#N/A</v>
      </c>
      <c r="F106" s="10" t="e">
        <f>LOOKUP($E106,Aerodromes!$A$2:$A$1048576,Aerodromes!$B$2:$B$1048576)</f>
        <v>#N/A</v>
      </c>
      <c r="H106" s="10" t="e">
        <f>LOOKUP($G106,Aerodromes!$A$2:$A$1048576,Aerodromes!$B$2:$B$1048576)</f>
        <v>#N/A</v>
      </c>
      <c r="K106" s="13">
        <f t="shared" si="1"/>
        <v>0</v>
      </c>
      <c r="V106" s="34">
        <f>SUBTOTAL(9,$K$3:$K106)</f>
        <v>0</v>
      </c>
      <c r="W106" s="35">
        <f>SUBTOTAL(9,$R$3:$R106)</f>
        <v>0</v>
      </c>
      <c r="X106" s="36">
        <f>SUBTOTAL(9,$S$3:$S106)</f>
        <v>0</v>
      </c>
      <c r="Y106" s="23">
        <f>SUBTOTAL(9,$L$3:$L106)</f>
        <v>0</v>
      </c>
      <c r="Z106" s="10">
        <f>SUBTOTAL(9,$M$3:$M106)</f>
        <v>0</v>
      </c>
    </row>
    <row r="107" spans="3:26" x14ac:dyDescent="0.25">
      <c r="C107" s="9" t="e">
        <f>LOOKUP($B107,Aircrafts!$A$2:$A$1048576,Aircrafts!$B$2:$B$1048576)</f>
        <v>#N/A</v>
      </c>
      <c r="D107" s="10" t="e">
        <f>LOOKUP($B107,Aircrafts!$A$2:$A$1048576,Aircrafts!$C$2:$C$1048576)</f>
        <v>#N/A</v>
      </c>
      <c r="F107" s="10" t="e">
        <f>LOOKUP($E107,Aerodromes!$A$2:$A$1048576,Aerodromes!$B$2:$B$1048576)</f>
        <v>#N/A</v>
      </c>
      <c r="H107" s="10" t="e">
        <f>LOOKUP($G107,Aerodromes!$A$2:$A$1048576,Aerodromes!$B$2:$B$1048576)</f>
        <v>#N/A</v>
      </c>
      <c r="K107" s="13">
        <f t="shared" si="1"/>
        <v>0</v>
      </c>
      <c r="V107" s="34">
        <f>SUBTOTAL(9,$K$3:$K107)</f>
        <v>0</v>
      </c>
      <c r="W107" s="35">
        <f>SUBTOTAL(9,$R$3:$R107)</f>
        <v>0</v>
      </c>
      <c r="X107" s="36">
        <f>SUBTOTAL(9,$S$3:$S107)</f>
        <v>0</v>
      </c>
      <c r="Y107" s="23">
        <f>SUBTOTAL(9,$L$3:$L107)</f>
        <v>0</v>
      </c>
      <c r="Z107" s="10">
        <f>SUBTOTAL(9,$M$3:$M107)</f>
        <v>0</v>
      </c>
    </row>
    <row r="108" spans="3:26" x14ac:dyDescent="0.25">
      <c r="C108" s="9" t="e">
        <f>LOOKUP($B108,Aircrafts!$A$2:$A$1048576,Aircrafts!$B$2:$B$1048576)</f>
        <v>#N/A</v>
      </c>
      <c r="D108" s="10" t="e">
        <f>LOOKUP($B108,Aircrafts!$A$2:$A$1048576,Aircrafts!$C$2:$C$1048576)</f>
        <v>#N/A</v>
      </c>
      <c r="F108" s="10" t="e">
        <f>LOOKUP($E108,Aerodromes!$A$2:$A$1048576,Aerodromes!$B$2:$B$1048576)</f>
        <v>#N/A</v>
      </c>
      <c r="H108" s="10" t="e">
        <f>LOOKUP($G108,Aerodromes!$A$2:$A$1048576,Aerodromes!$B$2:$B$1048576)</f>
        <v>#N/A</v>
      </c>
      <c r="K108" s="13">
        <f t="shared" si="1"/>
        <v>0</v>
      </c>
      <c r="V108" s="34">
        <f>SUBTOTAL(9,$K$3:$K108)</f>
        <v>0</v>
      </c>
      <c r="W108" s="35">
        <f>SUBTOTAL(9,$R$3:$R108)</f>
        <v>0</v>
      </c>
      <c r="X108" s="36">
        <f>SUBTOTAL(9,$S$3:$S108)</f>
        <v>0</v>
      </c>
      <c r="Y108" s="23">
        <f>SUBTOTAL(9,$L$3:$L108)</f>
        <v>0</v>
      </c>
      <c r="Z108" s="10">
        <f>SUBTOTAL(9,$M$3:$M108)</f>
        <v>0</v>
      </c>
    </row>
    <row r="109" spans="3:26" x14ac:dyDescent="0.25">
      <c r="C109" s="9" t="e">
        <f>LOOKUP($B109,Aircrafts!$A$2:$A$1048576,Aircrafts!$B$2:$B$1048576)</f>
        <v>#N/A</v>
      </c>
      <c r="D109" s="10" t="e">
        <f>LOOKUP($B109,Aircrafts!$A$2:$A$1048576,Aircrafts!$C$2:$C$1048576)</f>
        <v>#N/A</v>
      </c>
      <c r="F109" s="10" t="e">
        <f>LOOKUP($E109,Aerodromes!$A$2:$A$1048576,Aerodromes!$B$2:$B$1048576)</f>
        <v>#N/A</v>
      </c>
      <c r="H109" s="10" t="e">
        <f>LOOKUP($G109,Aerodromes!$A$2:$A$1048576,Aerodromes!$B$2:$B$1048576)</f>
        <v>#N/A</v>
      </c>
      <c r="K109" s="13">
        <f t="shared" si="1"/>
        <v>0</v>
      </c>
      <c r="V109" s="34">
        <f>SUBTOTAL(9,$K$3:$K109)</f>
        <v>0</v>
      </c>
      <c r="W109" s="35">
        <f>SUBTOTAL(9,$R$3:$R109)</f>
        <v>0</v>
      </c>
      <c r="X109" s="36">
        <f>SUBTOTAL(9,$S$3:$S109)</f>
        <v>0</v>
      </c>
      <c r="Y109" s="23">
        <f>SUBTOTAL(9,$L$3:$L109)</f>
        <v>0</v>
      </c>
      <c r="Z109" s="10">
        <f>SUBTOTAL(9,$M$3:$M109)</f>
        <v>0</v>
      </c>
    </row>
    <row r="110" spans="3:26" x14ac:dyDescent="0.25">
      <c r="C110" s="9" t="e">
        <f>LOOKUP($B110,Aircrafts!$A$2:$A$1048576,Aircrafts!$B$2:$B$1048576)</f>
        <v>#N/A</v>
      </c>
      <c r="D110" s="10" t="e">
        <f>LOOKUP($B110,Aircrafts!$A$2:$A$1048576,Aircrafts!$C$2:$C$1048576)</f>
        <v>#N/A</v>
      </c>
      <c r="F110" s="10" t="e">
        <f>LOOKUP($E110,Aerodromes!$A$2:$A$1048576,Aerodromes!$B$2:$B$1048576)</f>
        <v>#N/A</v>
      </c>
      <c r="H110" s="10" t="e">
        <f>LOOKUP($G110,Aerodromes!$A$2:$A$1048576,Aerodromes!$B$2:$B$1048576)</f>
        <v>#N/A</v>
      </c>
      <c r="K110" s="13">
        <f t="shared" si="1"/>
        <v>0</v>
      </c>
      <c r="V110" s="34">
        <f>SUBTOTAL(9,$K$3:$K110)</f>
        <v>0</v>
      </c>
      <c r="W110" s="35">
        <f>SUBTOTAL(9,$R$3:$R110)</f>
        <v>0</v>
      </c>
      <c r="X110" s="36">
        <f>SUBTOTAL(9,$S$3:$S110)</f>
        <v>0</v>
      </c>
      <c r="Y110" s="23">
        <f>SUBTOTAL(9,$L$3:$L110)</f>
        <v>0</v>
      </c>
      <c r="Z110" s="10">
        <f>SUBTOTAL(9,$M$3:$M110)</f>
        <v>0</v>
      </c>
    </row>
    <row r="111" spans="3:26" x14ac:dyDescent="0.25">
      <c r="C111" s="9" t="e">
        <f>LOOKUP($B111,Aircrafts!$A$2:$A$1048576,Aircrafts!$B$2:$B$1048576)</f>
        <v>#N/A</v>
      </c>
      <c r="D111" s="10" t="e">
        <f>LOOKUP($B111,Aircrafts!$A$2:$A$1048576,Aircrafts!$C$2:$C$1048576)</f>
        <v>#N/A</v>
      </c>
      <c r="F111" s="10" t="e">
        <f>LOOKUP($E111,Aerodromes!$A$2:$A$1048576,Aerodromes!$B$2:$B$1048576)</f>
        <v>#N/A</v>
      </c>
      <c r="H111" s="10" t="e">
        <f>LOOKUP($G111,Aerodromes!$A$2:$A$1048576,Aerodromes!$B$2:$B$1048576)</f>
        <v>#N/A</v>
      </c>
      <c r="K111" s="13">
        <f t="shared" si="1"/>
        <v>0</v>
      </c>
      <c r="V111" s="34">
        <f>SUBTOTAL(9,$K$3:$K111)</f>
        <v>0</v>
      </c>
      <c r="W111" s="35">
        <f>SUBTOTAL(9,$R$3:$R111)</f>
        <v>0</v>
      </c>
      <c r="X111" s="36">
        <f>SUBTOTAL(9,$S$3:$S111)</f>
        <v>0</v>
      </c>
      <c r="Y111" s="23">
        <f>SUBTOTAL(9,$L$3:$L111)</f>
        <v>0</v>
      </c>
      <c r="Z111" s="10">
        <f>SUBTOTAL(9,$M$3:$M111)</f>
        <v>0</v>
      </c>
    </row>
    <row r="112" spans="3:26" x14ac:dyDescent="0.25">
      <c r="C112" s="9" t="e">
        <f>LOOKUP($B112,Aircrafts!$A$2:$A$1048576,Aircrafts!$B$2:$B$1048576)</f>
        <v>#N/A</v>
      </c>
      <c r="D112" s="10" t="e">
        <f>LOOKUP($B112,Aircrafts!$A$2:$A$1048576,Aircrafts!$C$2:$C$1048576)</f>
        <v>#N/A</v>
      </c>
      <c r="F112" s="10" t="e">
        <f>LOOKUP($E112,Aerodromes!$A$2:$A$1048576,Aerodromes!$B$2:$B$1048576)</f>
        <v>#N/A</v>
      </c>
      <c r="H112" s="10" t="e">
        <f>LOOKUP($G112,Aerodromes!$A$2:$A$1048576,Aerodromes!$B$2:$B$1048576)</f>
        <v>#N/A</v>
      </c>
      <c r="K112" s="13">
        <f t="shared" si="1"/>
        <v>0</v>
      </c>
      <c r="V112" s="34">
        <f>SUBTOTAL(9,$K$3:$K112)</f>
        <v>0</v>
      </c>
      <c r="W112" s="35">
        <f>SUBTOTAL(9,$R$3:$R112)</f>
        <v>0</v>
      </c>
      <c r="X112" s="36">
        <f>SUBTOTAL(9,$S$3:$S112)</f>
        <v>0</v>
      </c>
      <c r="Y112" s="23">
        <f>SUBTOTAL(9,$L$3:$L112)</f>
        <v>0</v>
      </c>
      <c r="Z112" s="10">
        <f>SUBTOTAL(9,$M$3:$M112)</f>
        <v>0</v>
      </c>
    </row>
    <row r="113" spans="3:26" x14ac:dyDescent="0.25">
      <c r="C113" s="9" t="e">
        <f>LOOKUP($B113,Aircrafts!$A$2:$A$1048576,Aircrafts!$B$2:$B$1048576)</f>
        <v>#N/A</v>
      </c>
      <c r="D113" s="10" t="e">
        <f>LOOKUP($B113,Aircrafts!$A$2:$A$1048576,Aircrafts!$C$2:$C$1048576)</f>
        <v>#N/A</v>
      </c>
      <c r="F113" s="10" t="e">
        <f>LOOKUP($E113,Aerodromes!$A$2:$A$1048576,Aerodromes!$B$2:$B$1048576)</f>
        <v>#N/A</v>
      </c>
      <c r="H113" s="10" t="e">
        <f>LOOKUP($G113,Aerodromes!$A$2:$A$1048576,Aerodromes!$B$2:$B$1048576)</f>
        <v>#N/A</v>
      </c>
      <c r="K113" s="13">
        <f t="shared" si="1"/>
        <v>0</v>
      </c>
      <c r="V113" s="34">
        <f>SUBTOTAL(9,$K$3:$K113)</f>
        <v>0</v>
      </c>
      <c r="W113" s="35">
        <f>SUBTOTAL(9,$R$3:$R113)</f>
        <v>0</v>
      </c>
      <c r="X113" s="36">
        <f>SUBTOTAL(9,$S$3:$S113)</f>
        <v>0</v>
      </c>
      <c r="Y113" s="23">
        <f>SUBTOTAL(9,$L$3:$L113)</f>
        <v>0</v>
      </c>
      <c r="Z113" s="10">
        <f>SUBTOTAL(9,$M$3:$M113)</f>
        <v>0</v>
      </c>
    </row>
    <row r="114" spans="3:26" x14ac:dyDescent="0.25">
      <c r="C114" s="9" t="e">
        <f>LOOKUP($B114,Aircrafts!$A$2:$A$1048576,Aircrafts!$B$2:$B$1048576)</f>
        <v>#N/A</v>
      </c>
      <c r="D114" s="10" t="e">
        <f>LOOKUP($B114,Aircrafts!$A$2:$A$1048576,Aircrafts!$C$2:$C$1048576)</f>
        <v>#N/A</v>
      </c>
      <c r="F114" s="10" t="e">
        <f>LOOKUP($E114,Aerodromes!$A$2:$A$1048576,Aerodromes!$B$2:$B$1048576)</f>
        <v>#N/A</v>
      </c>
      <c r="H114" s="10" t="e">
        <f>LOOKUP($G114,Aerodromes!$A$2:$A$1048576,Aerodromes!$B$2:$B$1048576)</f>
        <v>#N/A</v>
      </c>
      <c r="K114" s="13">
        <f t="shared" si="1"/>
        <v>0</v>
      </c>
      <c r="V114" s="34">
        <f>SUBTOTAL(9,$K$3:$K114)</f>
        <v>0</v>
      </c>
      <c r="W114" s="35">
        <f>SUBTOTAL(9,$R$3:$R114)</f>
        <v>0</v>
      </c>
      <c r="X114" s="36">
        <f>SUBTOTAL(9,$S$3:$S114)</f>
        <v>0</v>
      </c>
      <c r="Y114" s="23">
        <f>SUBTOTAL(9,$L$3:$L114)</f>
        <v>0</v>
      </c>
      <c r="Z114" s="10">
        <f>SUBTOTAL(9,$M$3:$M114)</f>
        <v>0</v>
      </c>
    </row>
    <row r="115" spans="3:26" x14ac:dyDescent="0.25">
      <c r="C115" s="9" t="e">
        <f>LOOKUP($B115,Aircrafts!$A$2:$A$1048576,Aircrafts!$B$2:$B$1048576)</f>
        <v>#N/A</v>
      </c>
      <c r="D115" s="10" t="e">
        <f>LOOKUP($B115,Aircrafts!$A$2:$A$1048576,Aircrafts!$C$2:$C$1048576)</f>
        <v>#N/A</v>
      </c>
      <c r="F115" s="10" t="e">
        <f>LOOKUP($E115,Aerodromes!$A$2:$A$1048576,Aerodromes!$B$2:$B$1048576)</f>
        <v>#N/A</v>
      </c>
      <c r="H115" s="10" t="e">
        <f>LOOKUP($G115,Aerodromes!$A$2:$A$1048576,Aerodromes!$B$2:$B$1048576)</f>
        <v>#N/A</v>
      </c>
      <c r="K115" s="13">
        <f t="shared" si="1"/>
        <v>0</v>
      </c>
      <c r="V115" s="34">
        <f>SUBTOTAL(9,$K$3:$K115)</f>
        <v>0</v>
      </c>
      <c r="W115" s="35">
        <f>SUBTOTAL(9,$R$3:$R115)</f>
        <v>0</v>
      </c>
      <c r="X115" s="36">
        <f>SUBTOTAL(9,$S$3:$S115)</f>
        <v>0</v>
      </c>
      <c r="Y115" s="23">
        <f>SUBTOTAL(9,$L$3:$L115)</f>
        <v>0</v>
      </c>
      <c r="Z115" s="10">
        <f>SUBTOTAL(9,$M$3:$M115)</f>
        <v>0</v>
      </c>
    </row>
    <row r="116" spans="3:26" x14ac:dyDescent="0.25">
      <c r="C116" s="9" t="e">
        <f>LOOKUP($B116,Aircrafts!$A$2:$A$1048576,Aircrafts!$B$2:$B$1048576)</f>
        <v>#N/A</v>
      </c>
      <c r="D116" s="10" t="e">
        <f>LOOKUP($B116,Aircrafts!$A$2:$A$1048576,Aircrafts!$C$2:$C$1048576)</f>
        <v>#N/A</v>
      </c>
      <c r="F116" s="10" t="e">
        <f>LOOKUP($E116,Aerodromes!$A$2:$A$1048576,Aerodromes!$B$2:$B$1048576)</f>
        <v>#N/A</v>
      </c>
      <c r="H116" s="10" t="e">
        <f>LOOKUP($G116,Aerodromes!$A$2:$A$1048576,Aerodromes!$B$2:$B$1048576)</f>
        <v>#N/A</v>
      </c>
      <c r="K116" s="13">
        <f t="shared" si="1"/>
        <v>0</v>
      </c>
      <c r="V116" s="34">
        <f>SUBTOTAL(9,$K$3:$K116)</f>
        <v>0</v>
      </c>
      <c r="W116" s="35">
        <f>SUBTOTAL(9,$R$3:$R116)</f>
        <v>0</v>
      </c>
      <c r="X116" s="36">
        <f>SUBTOTAL(9,$S$3:$S116)</f>
        <v>0</v>
      </c>
      <c r="Y116" s="23">
        <f>SUBTOTAL(9,$L$3:$L116)</f>
        <v>0</v>
      </c>
      <c r="Z116" s="10">
        <f>SUBTOTAL(9,$M$3:$M116)</f>
        <v>0</v>
      </c>
    </row>
    <row r="117" spans="3:26" x14ac:dyDescent="0.25">
      <c r="C117" s="9" t="e">
        <f>LOOKUP($B117,Aircrafts!$A$2:$A$1048576,Aircrafts!$B$2:$B$1048576)</f>
        <v>#N/A</v>
      </c>
      <c r="D117" s="10" t="e">
        <f>LOOKUP($B117,Aircrafts!$A$2:$A$1048576,Aircrafts!$C$2:$C$1048576)</f>
        <v>#N/A</v>
      </c>
      <c r="F117" s="10" t="e">
        <f>LOOKUP($E117,Aerodromes!$A$2:$A$1048576,Aerodromes!$B$2:$B$1048576)</f>
        <v>#N/A</v>
      </c>
      <c r="H117" s="10" t="e">
        <f>LOOKUP($G117,Aerodromes!$A$2:$A$1048576,Aerodromes!$B$2:$B$1048576)</f>
        <v>#N/A</v>
      </c>
      <c r="K117" s="13">
        <f t="shared" si="1"/>
        <v>0</v>
      </c>
      <c r="V117" s="34">
        <f>SUBTOTAL(9,$K$3:$K117)</f>
        <v>0</v>
      </c>
      <c r="W117" s="35">
        <f>SUBTOTAL(9,$R$3:$R117)</f>
        <v>0</v>
      </c>
      <c r="X117" s="36">
        <f>SUBTOTAL(9,$S$3:$S117)</f>
        <v>0</v>
      </c>
      <c r="Y117" s="23">
        <f>SUBTOTAL(9,$L$3:$L117)</f>
        <v>0</v>
      </c>
      <c r="Z117" s="10">
        <f>SUBTOTAL(9,$M$3:$M117)</f>
        <v>0</v>
      </c>
    </row>
    <row r="118" spans="3:26" x14ac:dyDescent="0.25">
      <c r="C118" s="9" t="e">
        <f>LOOKUP($B118,Aircrafts!$A$2:$A$1048576,Aircrafts!$B$2:$B$1048576)</f>
        <v>#N/A</v>
      </c>
      <c r="D118" s="10" t="e">
        <f>LOOKUP($B118,Aircrafts!$A$2:$A$1048576,Aircrafts!$C$2:$C$1048576)</f>
        <v>#N/A</v>
      </c>
      <c r="F118" s="10" t="e">
        <f>LOOKUP($E118,Aerodromes!$A$2:$A$1048576,Aerodromes!$B$2:$B$1048576)</f>
        <v>#N/A</v>
      </c>
      <c r="H118" s="10" t="e">
        <f>LOOKUP($G118,Aerodromes!$A$2:$A$1048576,Aerodromes!$B$2:$B$1048576)</f>
        <v>#N/A</v>
      </c>
      <c r="K118" s="13">
        <f t="shared" si="1"/>
        <v>0</v>
      </c>
      <c r="V118" s="34">
        <f>SUBTOTAL(9,$K$3:$K118)</f>
        <v>0</v>
      </c>
      <c r="W118" s="35">
        <f>SUBTOTAL(9,$R$3:$R118)</f>
        <v>0</v>
      </c>
      <c r="X118" s="36">
        <f>SUBTOTAL(9,$S$3:$S118)</f>
        <v>0</v>
      </c>
      <c r="Y118" s="23">
        <f>SUBTOTAL(9,$L$3:$L118)</f>
        <v>0</v>
      </c>
      <c r="Z118" s="10">
        <f>SUBTOTAL(9,$M$3:$M118)</f>
        <v>0</v>
      </c>
    </row>
    <row r="119" spans="3:26" x14ac:dyDescent="0.25">
      <c r="C119" s="9" t="e">
        <f>LOOKUP($B119,Aircrafts!$A$2:$A$1048576,Aircrafts!$B$2:$B$1048576)</f>
        <v>#N/A</v>
      </c>
      <c r="D119" s="10" t="e">
        <f>LOOKUP($B119,Aircrafts!$A$2:$A$1048576,Aircrafts!$C$2:$C$1048576)</f>
        <v>#N/A</v>
      </c>
      <c r="F119" s="10" t="e">
        <f>LOOKUP($E119,Aerodromes!$A$2:$A$1048576,Aerodromes!$B$2:$B$1048576)</f>
        <v>#N/A</v>
      </c>
      <c r="H119" s="10" t="e">
        <f>LOOKUP($G119,Aerodromes!$A$2:$A$1048576,Aerodromes!$B$2:$B$1048576)</f>
        <v>#N/A</v>
      </c>
      <c r="K119" s="13">
        <f t="shared" si="1"/>
        <v>0</v>
      </c>
      <c r="V119" s="34">
        <f>SUBTOTAL(9,$K$3:$K119)</f>
        <v>0</v>
      </c>
      <c r="W119" s="35">
        <f>SUBTOTAL(9,$R$3:$R119)</f>
        <v>0</v>
      </c>
      <c r="X119" s="36">
        <f>SUBTOTAL(9,$S$3:$S119)</f>
        <v>0</v>
      </c>
      <c r="Y119" s="23">
        <f>SUBTOTAL(9,$L$3:$L119)</f>
        <v>0</v>
      </c>
      <c r="Z119" s="10">
        <f>SUBTOTAL(9,$M$3:$M119)</f>
        <v>0</v>
      </c>
    </row>
    <row r="120" spans="3:26" x14ac:dyDescent="0.25">
      <c r="C120" s="9" t="e">
        <f>LOOKUP($B120,Aircrafts!$A$2:$A$1048576,Aircrafts!$B$2:$B$1048576)</f>
        <v>#N/A</v>
      </c>
      <c r="D120" s="10" t="e">
        <f>LOOKUP($B120,Aircrafts!$A$2:$A$1048576,Aircrafts!$C$2:$C$1048576)</f>
        <v>#N/A</v>
      </c>
      <c r="F120" s="10" t="e">
        <f>LOOKUP($E120,Aerodromes!$A$2:$A$1048576,Aerodromes!$B$2:$B$1048576)</f>
        <v>#N/A</v>
      </c>
      <c r="H120" s="10" t="e">
        <f>LOOKUP($G120,Aerodromes!$A$2:$A$1048576,Aerodromes!$B$2:$B$1048576)</f>
        <v>#N/A</v>
      </c>
      <c r="K120" s="13">
        <f t="shared" si="1"/>
        <v>0</v>
      </c>
      <c r="V120" s="34">
        <f>SUBTOTAL(9,$K$3:$K120)</f>
        <v>0</v>
      </c>
      <c r="W120" s="35">
        <f>SUBTOTAL(9,$R$3:$R120)</f>
        <v>0</v>
      </c>
      <c r="X120" s="36">
        <f>SUBTOTAL(9,$S$3:$S120)</f>
        <v>0</v>
      </c>
      <c r="Y120" s="23">
        <f>SUBTOTAL(9,$L$3:$L120)</f>
        <v>0</v>
      </c>
      <c r="Z120" s="10">
        <f>SUBTOTAL(9,$M$3:$M120)</f>
        <v>0</v>
      </c>
    </row>
    <row r="121" spans="3:26" x14ac:dyDescent="0.25">
      <c r="C121" s="9" t="e">
        <f>LOOKUP($B121,Aircrafts!$A$2:$A$1048576,Aircrafts!$B$2:$B$1048576)</f>
        <v>#N/A</v>
      </c>
      <c r="D121" s="10" t="e">
        <f>LOOKUP($B121,Aircrafts!$A$2:$A$1048576,Aircrafts!$C$2:$C$1048576)</f>
        <v>#N/A</v>
      </c>
      <c r="F121" s="10" t="e">
        <f>LOOKUP($E121,Aerodromes!$A$2:$A$1048576,Aerodromes!$B$2:$B$1048576)</f>
        <v>#N/A</v>
      </c>
      <c r="H121" s="10" t="e">
        <f>LOOKUP($G121,Aerodromes!$A$2:$A$1048576,Aerodromes!$B$2:$B$1048576)</f>
        <v>#N/A</v>
      </c>
      <c r="K121" s="13">
        <f t="shared" si="1"/>
        <v>0</v>
      </c>
      <c r="V121" s="34">
        <f>SUBTOTAL(9,$K$3:$K121)</f>
        <v>0</v>
      </c>
      <c r="W121" s="35">
        <f>SUBTOTAL(9,$R$3:$R121)</f>
        <v>0</v>
      </c>
      <c r="X121" s="36">
        <f>SUBTOTAL(9,$S$3:$S121)</f>
        <v>0</v>
      </c>
      <c r="Y121" s="23">
        <f>SUBTOTAL(9,$L$3:$L121)</f>
        <v>0</v>
      </c>
      <c r="Z121" s="10">
        <f>SUBTOTAL(9,$M$3:$M121)</f>
        <v>0</v>
      </c>
    </row>
    <row r="122" spans="3:26" x14ac:dyDescent="0.25">
      <c r="C122" s="9" t="e">
        <f>LOOKUP($B122,Aircrafts!$A$2:$A$1048576,Aircrafts!$B$2:$B$1048576)</f>
        <v>#N/A</v>
      </c>
      <c r="D122" s="10" t="e">
        <f>LOOKUP($B122,Aircrafts!$A$2:$A$1048576,Aircrafts!$C$2:$C$1048576)</f>
        <v>#N/A</v>
      </c>
      <c r="F122" s="10" t="e">
        <f>LOOKUP($E122,Aerodromes!$A$2:$A$1048576,Aerodromes!$B$2:$B$1048576)</f>
        <v>#N/A</v>
      </c>
      <c r="H122" s="10" t="e">
        <f>LOOKUP($G122,Aerodromes!$A$2:$A$1048576,Aerodromes!$B$2:$B$1048576)</f>
        <v>#N/A</v>
      </c>
      <c r="K122" s="13">
        <f t="shared" si="1"/>
        <v>0</v>
      </c>
      <c r="V122" s="34">
        <f>SUBTOTAL(9,$K$3:$K122)</f>
        <v>0</v>
      </c>
      <c r="W122" s="35">
        <f>SUBTOTAL(9,$R$3:$R122)</f>
        <v>0</v>
      </c>
      <c r="X122" s="36">
        <f>SUBTOTAL(9,$S$3:$S122)</f>
        <v>0</v>
      </c>
      <c r="Y122" s="23">
        <f>SUBTOTAL(9,$L$3:$L122)</f>
        <v>0</v>
      </c>
      <c r="Z122" s="10">
        <f>SUBTOTAL(9,$M$3:$M122)</f>
        <v>0</v>
      </c>
    </row>
    <row r="123" spans="3:26" x14ac:dyDescent="0.25">
      <c r="C123" s="9" t="e">
        <f>LOOKUP($B123,Aircrafts!$A$2:$A$1048576,Aircrafts!$B$2:$B$1048576)</f>
        <v>#N/A</v>
      </c>
      <c r="D123" s="10" t="e">
        <f>LOOKUP($B123,Aircrafts!$A$2:$A$1048576,Aircrafts!$C$2:$C$1048576)</f>
        <v>#N/A</v>
      </c>
      <c r="F123" s="10" t="e">
        <f>LOOKUP($E123,Aerodromes!$A$2:$A$1048576,Aerodromes!$B$2:$B$1048576)</f>
        <v>#N/A</v>
      </c>
      <c r="H123" s="10" t="e">
        <f>LOOKUP($G123,Aerodromes!$A$2:$A$1048576,Aerodromes!$B$2:$B$1048576)</f>
        <v>#N/A</v>
      </c>
      <c r="K123" s="13">
        <f t="shared" si="1"/>
        <v>0</v>
      </c>
      <c r="V123" s="34">
        <f>SUBTOTAL(9,$K$3:$K123)</f>
        <v>0</v>
      </c>
      <c r="W123" s="35">
        <f>SUBTOTAL(9,$R$3:$R123)</f>
        <v>0</v>
      </c>
      <c r="X123" s="36">
        <f>SUBTOTAL(9,$S$3:$S123)</f>
        <v>0</v>
      </c>
      <c r="Y123" s="23">
        <f>SUBTOTAL(9,$L$3:$L123)</f>
        <v>0</v>
      </c>
      <c r="Z123" s="10">
        <f>SUBTOTAL(9,$M$3:$M123)</f>
        <v>0</v>
      </c>
    </row>
    <row r="124" spans="3:26" x14ac:dyDescent="0.25">
      <c r="C124" s="9" t="e">
        <f>LOOKUP($B124,Aircrafts!$A$2:$A$1048576,Aircrafts!$B$2:$B$1048576)</f>
        <v>#N/A</v>
      </c>
      <c r="D124" s="10" t="e">
        <f>LOOKUP($B124,Aircrafts!$A$2:$A$1048576,Aircrafts!$C$2:$C$1048576)</f>
        <v>#N/A</v>
      </c>
      <c r="F124" s="10" t="e">
        <f>LOOKUP($E124,Aerodromes!$A$2:$A$1048576,Aerodromes!$B$2:$B$1048576)</f>
        <v>#N/A</v>
      </c>
      <c r="H124" s="10" t="e">
        <f>LOOKUP($G124,Aerodromes!$A$2:$A$1048576,Aerodromes!$B$2:$B$1048576)</f>
        <v>#N/A</v>
      </c>
      <c r="K124" s="13">
        <f t="shared" si="1"/>
        <v>0</v>
      </c>
      <c r="V124" s="34">
        <f>SUBTOTAL(9,$K$3:$K124)</f>
        <v>0</v>
      </c>
      <c r="W124" s="35">
        <f>SUBTOTAL(9,$R$3:$R124)</f>
        <v>0</v>
      </c>
      <c r="X124" s="36">
        <f>SUBTOTAL(9,$S$3:$S124)</f>
        <v>0</v>
      </c>
      <c r="Y124" s="23">
        <f>SUBTOTAL(9,$L$3:$L124)</f>
        <v>0</v>
      </c>
      <c r="Z124" s="10">
        <f>SUBTOTAL(9,$M$3:$M124)</f>
        <v>0</v>
      </c>
    </row>
    <row r="125" spans="3:26" x14ac:dyDescent="0.25">
      <c r="C125" s="9" t="e">
        <f>LOOKUP($B125,Aircrafts!$A$2:$A$1048576,Aircrafts!$B$2:$B$1048576)</f>
        <v>#N/A</v>
      </c>
      <c r="D125" s="10" t="e">
        <f>LOOKUP($B125,Aircrafts!$A$2:$A$1048576,Aircrafts!$C$2:$C$1048576)</f>
        <v>#N/A</v>
      </c>
      <c r="F125" s="10" t="e">
        <f>LOOKUP($E125,Aerodromes!$A$2:$A$1048576,Aerodromes!$B$2:$B$1048576)</f>
        <v>#N/A</v>
      </c>
      <c r="H125" s="10" t="e">
        <f>LOOKUP($G125,Aerodromes!$A$2:$A$1048576,Aerodromes!$B$2:$B$1048576)</f>
        <v>#N/A</v>
      </c>
      <c r="K125" s="13">
        <f t="shared" si="1"/>
        <v>0</v>
      </c>
      <c r="V125" s="34">
        <f>SUBTOTAL(9,$K$3:$K125)</f>
        <v>0</v>
      </c>
      <c r="W125" s="35">
        <f>SUBTOTAL(9,$R$3:$R125)</f>
        <v>0</v>
      </c>
      <c r="X125" s="36">
        <f>SUBTOTAL(9,$S$3:$S125)</f>
        <v>0</v>
      </c>
      <c r="Y125" s="23">
        <f>SUBTOTAL(9,$L$3:$L125)</f>
        <v>0</v>
      </c>
      <c r="Z125" s="10">
        <f>SUBTOTAL(9,$M$3:$M125)</f>
        <v>0</v>
      </c>
    </row>
    <row r="126" spans="3:26" x14ac:dyDescent="0.25">
      <c r="C126" s="9" t="e">
        <f>LOOKUP($B126,Aircrafts!$A$2:$A$1048576,Aircrafts!$B$2:$B$1048576)</f>
        <v>#N/A</v>
      </c>
      <c r="D126" s="10" t="e">
        <f>LOOKUP($B126,Aircrafts!$A$2:$A$1048576,Aircrafts!$C$2:$C$1048576)</f>
        <v>#N/A</v>
      </c>
      <c r="F126" s="10" t="e">
        <f>LOOKUP($E126,Aerodromes!$A$2:$A$1048576,Aerodromes!$B$2:$B$1048576)</f>
        <v>#N/A</v>
      </c>
      <c r="H126" s="10" t="e">
        <f>LOOKUP($G126,Aerodromes!$A$2:$A$1048576,Aerodromes!$B$2:$B$1048576)</f>
        <v>#N/A</v>
      </c>
      <c r="K126" s="13">
        <f t="shared" si="1"/>
        <v>0</v>
      </c>
      <c r="V126" s="34">
        <f>SUBTOTAL(9,$K$3:$K126)</f>
        <v>0</v>
      </c>
      <c r="W126" s="35">
        <f>SUBTOTAL(9,$R$3:$R126)</f>
        <v>0</v>
      </c>
      <c r="X126" s="36">
        <f>SUBTOTAL(9,$S$3:$S126)</f>
        <v>0</v>
      </c>
      <c r="Y126" s="23">
        <f>SUBTOTAL(9,$L$3:$L126)</f>
        <v>0</v>
      </c>
      <c r="Z126" s="10">
        <f>SUBTOTAL(9,$M$3:$M126)</f>
        <v>0</v>
      </c>
    </row>
    <row r="127" spans="3:26" x14ac:dyDescent="0.25">
      <c r="C127" s="9" t="e">
        <f>LOOKUP($B127,Aircrafts!$A$2:$A$1048576,Aircrafts!$B$2:$B$1048576)</f>
        <v>#N/A</v>
      </c>
      <c r="D127" s="10" t="e">
        <f>LOOKUP($B127,Aircrafts!$A$2:$A$1048576,Aircrafts!$C$2:$C$1048576)</f>
        <v>#N/A</v>
      </c>
      <c r="F127" s="10" t="e">
        <f>LOOKUP($E127,Aerodromes!$A$2:$A$1048576,Aerodromes!$B$2:$B$1048576)</f>
        <v>#N/A</v>
      </c>
      <c r="H127" s="10" t="e">
        <f>LOOKUP($G127,Aerodromes!$A$2:$A$1048576,Aerodromes!$B$2:$B$1048576)</f>
        <v>#N/A</v>
      </c>
      <c r="K127" s="13">
        <f t="shared" si="1"/>
        <v>0</v>
      </c>
      <c r="V127" s="34">
        <f>SUBTOTAL(9,$K$3:$K127)</f>
        <v>0</v>
      </c>
      <c r="W127" s="35">
        <f>SUBTOTAL(9,$R$3:$R127)</f>
        <v>0</v>
      </c>
      <c r="X127" s="36">
        <f>SUBTOTAL(9,$S$3:$S127)</f>
        <v>0</v>
      </c>
      <c r="Y127" s="23">
        <f>SUBTOTAL(9,$L$3:$L127)</f>
        <v>0</v>
      </c>
      <c r="Z127" s="10">
        <f>SUBTOTAL(9,$M$3:$M127)</f>
        <v>0</v>
      </c>
    </row>
    <row r="128" spans="3:26" x14ac:dyDescent="0.25">
      <c r="C128" s="9" t="e">
        <f>LOOKUP($B128,Aircrafts!$A$2:$A$1048576,Aircrafts!$B$2:$B$1048576)</f>
        <v>#N/A</v>
      </c>
      <c r="D128" s="10" t="e">
        <f>LOOKUP($B128,Aircrafts!$A$2:$A$1048576,Aircrafts!$C$2:$C$1048576)</f>
        <v>#N/A</v>
      </c>
      <c r="F128" s="10" t="e">
        <f>LOOKUP($E128,Aerodromes!$A$2:$A$1048576,Aerodromes!$B$2:$B$1048576)</f>
        <v>#N/A</v>
      </c>
      <c r="H128" s="10" t="e">
        <f>LOOKUP($G128,Aerodromes!$A$2:$A$1048576,Aerodromes!$B$2:$B$1048576)</f>
        <v>#N/A</v>
      </c>
      <c r="K128" s="13">
        <f t="shared" si="1"/>
        <v>0</v>
      </c>
      <c r="V128" s="34">
        <f>SUBTOTAL(9,$K$3:$K128)</f>
        <v>0</v>
      </c>
      <c r="W128" s="35">
        <f>SUBTOTAL(9,$R$3:$R128)</f>
        <v>0</v>
      </c>
      <c r="X128" s="36">
        <f>SUBTOTAL(9,$S$3:$S128)</f>
        <v>0</v>
      </c>
      <c r="Y128" s="23">
        <f>SUBTOTAL(9,$L$3:$L128)</f>
        <v>0</v>
      </c>
      <c r="Z128" s="10">
        <f>SUBTOTAL(9,$M$3:$M128)</f>
        <v>0</v>
      </c>
    </row>
    <row r="129" spans="3:26" x14ac:dyDescent="0.25">
      <c r="C129" s="9" t="e">
        <f>LOOKUP($B129,Aircrafts!$A$2:$A$1048576,Aircrafts!$B$2:$B$1048576)</f>
        <v>#N/A</v>
      </c>
      <c r="D129" s="10" t="e">
        <f>LOOKUP($B129,Aircrafts!$A$2:$A$1048576,Aircrafts!$C$2:$C$1048576)</f>
        <v>#N/A</v>
      </c>
      <c r="F129" s="10" t="e">
        <f>LOOKUP($E129,Aerodromes!$A$2:$A$1048576,Aerodromes!$B$2:$B$1048576)</f>
        <v>#N/A</v>
      </c>
      <c r="H129" s="10" t="e">
        <f>LOOKUP($G129,Aerodromes!$A$2:$A$1048576,Aerodromes!$B$2:$B$1048576)</f>
        <v>#N/A</v>
      </c>
      <c r="K129" s="13">
        <f t="shared" si="1"/>
        <v>0</v>
      </c>
      <c r="V129" s="34">
        <f>SUBTOTAL(9,$K$3:$K129)</f>
        <v>0</v>
      </c>
      <c r="W129" s="35">
        <f>SUBTOTAL(9,$R$3:$R129)</f>
        <v>0</v>
      </c>
      <c r="X129" s="36">
        <f>SUBTOTAL(9,$S$3:$S129)</f>
        <v>0</v>
      </c>
      <c r="Y129" s="23">
        <f>SUBTOTAL(9,$L$3:$L129)</f>
        <v>0</v>
      </c>
      <c r="Z129" s="10">
        <f>SUBTOTAL(9,$M$3:$M129)</f>
        <v>0</v>
      </c>
    </row>
    <row r="130" spans="3:26" x14ac:dyDescent="0.25">
      <c r="C130" s="9" t="e">
        <f>LOOKUP($B130,Aircrafts!$A$2:$A$1048576,Aircrafts!$B$2:$B$1048576)</f>
        <v>#N/A</v>
      </c>
      <c r="D130" s="10" t="e">
        <f>LOOKUP($B130,Aircrafts!$A$2:$A$1048576,Aircrafts!$C$2:$C$1048576)</f>
        <v>#N/A</v>
      </c>
      <c r="F130" s="10" t="e">
        <f>LOOKUP($E130,Aerodromes!$A$2:$A$1048576,Aerodromes!$B$2:$B$1048576)</f>
        <v>#N/A</v>
      </c>
      <c r="H130" s="10" t="e">
        <f>LOOKUP($G130,Aerodromes!$A$2:$A$1048576,Aerodromes!$B$2:$B$1048576)</f>
        <v>#N/A</v>
      </c>
      <c r="K130" s="13">
        <f t="shared" si="1"/>
        <v>0</v>
      </c>
      <c r="V130" s="34">
        <f>SUBTOTAL(9,$K$3:$K130)</f>
        <v>0</v>
      </c>
      <c r="W130" s="35">
        <f>SUBTOTAL(9,$R$3:$R130)</f>
        <v>0</v>
      </c>
      <c r="X130" s="36">
        <f>SUBTOTAL(9,$S$3:$S130)</f>
        <v>0</v>
      </c>
      <c r="Y130" s="23">
        <f>SUBTOTAL(9,$L$3:$L130)</f>
        <v>0</v>
      </c>
      <c r="Z130" s="10">
        <f>SUBTOTAL(9,$M$3:$M130)</f>
        <v>0</v>
      </c>
    </row>
    <row r="131" spans="3:26" x14ac:dyDescent="0.25">
      <c r="C131" s="9" t="e">
        <f>LOOKUP($B131,Aircrafts!$A$2:$A$1048576,Aircrafts!$B$2:$B$1048576)</f>
        <v>#N/A</v>
      </c>
      <c r="D131" s="10" t="e">
        <f>LOOKUP($B131,Aircrafts!$A$2:$A$1048576,Aircrafts!$C$2:$C$1048576)</f>
        <v>#N/A</v>
      </c>
      <c r="F131" s="10" t="e">
        <f>LOOKUP($E131,Aerodromes!$A$2:$A$1048576,Aerodromes!$B$2:$B$1048576)</f>
        <v>#N/A</v>
      </c>
      <c r="H131" s="10" t="e">
        <f>LOOKUP($G131,Aerodromes!$A$2:$A$1048576,Aerodromes!$B$2:$B$1048576)</f>
        <v>#N/A</v>
      </c>
      <c r="K131" s="13">
        <f t="shared" ref="K131:K194" si="2">IF($J131&gt;=$I131,$J131-$I131,1+$J131-$I131)</f>
        <v>0</v>
      </c>
      <c r="V131" s="34">
        <f>SUBTOTAL(9,$K$3:$K131)</f>
        <v>0</v>
      </c>
      <c r="W131" s="35">
        <f>SUBTOTAL(9,$R$3:$R131)</f>
        <v>0</v>
      </c>
      <c r="X131" s="36">
        <f>SUBTOTAL(9,$S$3:$S131)</f>
        <v>0</v>
      </c>
      <c r="Y131" s="23">
        <f>SUBTOTAL(9,$L$3:$L131)</f>
        <v>0</v>
      </c>
      <c r="Z131" s="10">
        <f>SUBTOTAL(9,$M$3:$M131)</f>
        <v>0</v>
      </c>
    </row>
    <row r="132" spans="3:26" x14ac:dyDescent="0.25">
      <c r="C132" s="9" t="e">
        <f>LOOKUP($B132,Aircrafts!$A$2:$A$1048576,Aircrafts!$B$2:$B$1048576)</f>
        <v>#N/A</v>
      </c>
      <c r="D132" s="10" t="e">
        <f>LOOKUP($B132,Aircrafts!$A$2:$A$1048576,Aircrafts!$C$2:$C$1048576)</f>
        <v>#N/A</v>
      </c>
      <c r="F132" s="10" t="e">
        <f>LOOKUP($E132,Aerodromes!$A$2:$A$1048576,Aerodromes!$B$2:$B$1048576)</f>
        <v>#N/A</v>
      </c>
      <c r="H132" s="10" t="e">
        <f>LOOKUP($G132,Aerodromes!$A$2:$A$1048576,Aerodromes!$B$2:$B$1048576)</f>
        <v>#N/A</v>
      </c>
      <c r="K132" s="13">
        <f t="shared" si="2"/>
        <v>0</v>
      </c>
      <c r="V132" s="34">
        <f>SUBTOTAL(9,$K$3:$K132)</f>
        <v>0</v>
      </c>
      <c r="W132" s="35">
        <f>SUBTOTAL(9,$R$3:$R132)</f>
        <v>0</v>
      </c>
      <c r="X132" s="36">
        <f>SUBTOTAL(9,$S$3:$S132)</f>
        <v>0</v>
      </c>
      <c r="Y132" s="23">
        <f>SUBTOTAL(9,$L$3:$L132)</f>
        <v>0</v>
      </c>
      <c r="Z132" s="10">
        <f>SUBTOTAL(9,$M$3:$M132)</f>
        <v>0</v>
      </c>
    </row>
    <row r="133" spans="3:26" x14ac:dyDescent="0.25">
      <c r="C133" s="9" t="e">
        <f>LOOKUP($B133,Aircrafts!$A$2:$A$1048576,Aircrafts!$B$2:$B$1048576)</f>
        <v>#N/A</v>
      </c>
      <c r="D133" s="10" t="e">
        <f>LOOKUP($B133,Aircrafts!$A$2:$A$1048576,Aircrafts!$C$2:$C$1048576)</f>
        <v>#N/A</v>
      </c>
      <c r="F133" s="10" t="e">
        <f>LOOKUP($E133,Aerodromes!$A$2:$A$1048576,Aerodromes!$B$2:$B$1048576)</f>
        <v>#N/A</v>
      </c>
      <c r="H133" s="10" t="e">
        <f>LOOKUP($G133,Aerodromes!$A$2:$A$1048576,Aerodromes!$B$2:$B$1048576)</f>
        <v>#N/A</v>
      </c>
      <c r="K133" s="13">
        <f t="shared" si="2"/>
        <v>0</v>
      </c>
      <c r="V133" s="34">
        <f>SUBTOTAL(9,$K$3:$K133)</f>
        <v>0</v>
      </c>
      <c r="W133" s="35">
        <f>SUBTOTAL(9,$R$3:$R133)</f>
        <v>0</v>
      </c>
      <c r="X133" s="36">
        <f>SUBTOTAL(9,$S$3:$S133)</f>
        <v>0</v>
      </c>
      <c r="Y133" s="23">
        <f>SUBTOTAL(9,$L$3:$L133)</f>
        <v>0</v>
      </c>
      <c r="Z133" s="10">
        <f>SUBTOTAL(9,$M$3:$M133)</f>
        <v>0</v>
      </c>
    </row>
    <row r="134" spans="3:26" x14ac:dyDescent="0.25">
      <c r="C134" s="9" t="e">
        <f>LOOKUP($B134,Aircrafts!$A$2:$A$1048576,Aircrafts!$B$2:$B$1048576)</f>
        <v>#N/A</v>
      </c>
      <c r="D134" s="10" t="e">
        <f>LOOKUP($B134,Aircrafts!$A$2:$A$1048576,Aircrafts!$C$2:$C$1048576)</f>
        <v>#N/A</v>
      </c>
      <c r="F134" s="10" t="e">
        <f>LOOKUP($E134,Aerodromes!$A$2:$A$1048576,Aerodromes!$B$2:$B$1048576)</f>
        <v>#N/A</v>
      </c>
      <c r="H134" s="10" t="e">
        <f>LOOKUP($G134,Aerodromes!$A$2:$A$1048576,Aerodromes!$B$2:$B$1048576)</f>
        <v>#N/A</v>
      </c>
      <c r="K134" s="13">
        <f t="shared" si="2"/>
        <v>0</v>
      </c>
      <c r="V134" s="34">
        <f>SUBTOTAL(9,$K$3:$K134)</f>
        <v>0</v>
      </c>
      <c r="W134" s="35">
        <f>SUBTOTAL(9,$R$3:$R134)</f>
        <v>0</v>
      </c>
      <c r="X134" s="36">
        <f>SUBTOTAL(9,$S$3:$S134)</f>
        <v>0</v>
      </c>
      <c r="Y134" s="23">
        <f>SUBTOTAL(9,$L$3:$L134)</f>
        <v>0</v>
      </c>
      <c r="Z134" s="10">
        <f>SUBTOTAL(9,$M$3:$M134)</f>
        <v>0</v>
      </c>
    </row>
    <row r="135" spans="3:26" x14ac:dyDescent="0.25">
      <c r="C135" s="9" t="e">
        <f>LOOKUP($B135,Aircrafts!$A$2:$A$1048576,Aircrafts!$B$2:$B$1048576)</f>
        <v>#N/A</v>
      </c>
      <c r="D135" s="10" t="e">
        <f>LOOKUP($B135,Aircrafts!$A$2:$A$1048576,Aircrafts!$C$2:$C$1048576)</f>
        <v>#N/A</v>
      </c>
      <c r="F135" s="10" t="e">
        <f>LOOKUP($E135,Aerodromes!$A$2:$A$1048576,Aerodromes!$B$2:$B$1048576)</f>
        <v>#N/A</v>
      </c>
      <c r="H135" s="10" t="e">
        <f>LOOKUP($G135,Aerodromes!$A$2:$A$1048576,Aerodromes!$B$2:$B$1048576)</f>
        <v>#N/A</v>
      </c>
      <c r="K135" s="13">
        <f t="shared" si="2"/>
        <v>0</v>
      </c>
      <c r="V135" s="34">
        <f>SUBTOTAL(9,$K$3:$K135)</f>
        <v>0</v>
      </c>
      <c r="W135" s="35">
        <f>SUBTOTAL(9,$R$3:$R135)</f>
        <v>0</v>
      </c>
      <c r="X135" s="36">
        <f>SUBTOTAL(9,$S$3:$S135)</f>
        <v>0</v>
      </c>
      <c r="Y135" s="23">
        <f>SUBTOTAL(9,$L$3:$L135)</f>
        <v>0</v>
      </c>
      <c r="Z135" s="10">
        <f>SUBTOTAL(9,$M$3:$M135)</f>
        <v>0</v>
      </c>
    </row>
    <row r="136" spans="3:26" x14ac:dyDescent="0.25">
      <c r="C136" s="9" t="e">
        <f>LOOKUP($B136,Aircrafts!$A$2:$A$1048576,Aircrafts!$B$2:$B$1048576)</f>
        <v>#N/A</v>
      </c>
      <c r="D136" s="10" t="e">
        <f>LOOKUP($B136,Aircrafts!$A$2:$A$1048576,Aircrafts!$C$2:$C$1048576)</f>
        <v>#N/A</v>
      </c>
      <c r="F136" s="10" t="e">
        <f>LOOKUP($E136,Aerodromes!$A$2:$A$1048576,Aerodromes!$B$2:$B$1048576)</f>
        <v>#N/A</v>
      </c>
      <c r="H136" s="10" t="e">
        <f>LOOKUP($G136,Aerodromes!$A$2:$A$1048576,Aerodromes!$B$2:$B$1048576)</f>
        <v>#N/A</v>
      </c>
      <c r="K136" s="13">
        <f t="shared" si="2"/>
        <v>0</v>
      </c>
      <c r="V136" s="34">
        <f>SUBTOTAL(9,$K$3:$K136)</f>
        <v>0</v>
      </c>
      <c r="W136" s="35">
        <f>SUBTOTAL(9,$R$3:$R136)</f>
        <v>0</v>
      </c>
      <c r="X136" s="36">
        <f>SUBTOTAL(9,$S$3:$S136)</f>
        <v>0</v>
      </c>
      <c r="Y136" s="23">
        <f>SUBTOTAL(9,$L$3:$L136)</f>
        <v>0</v>
      </c>
      <c r="Z136" s="10">
        <f>SUBTOTAL(9,$M$3:$M136)</f>
        <v>0</v>
      </c>
    </row>
    <row r="137" spans="3:26" x14ac:dyDescent="0.25">
      <c r="C137" s="9" t="e">
        <f>LOOKUP($B137,Aircrafts!$A$2:$A$1048576,Aircrafts!$B$2:$B$1048576)</f>
        <v>#N/A</v>
      </c>
      <c r="D137" s="10" t="e">
        <f>LOOKUP($B137,Aircrafts!$A$2:$A$1048576,Aircrafts!$C$2:$C$1048576)</f>
        <v>#N/A</v>
      </c>
      <c r="F137" s="10" t="e">
        <f>LOOKUP($E137,Aerodromes!$A$2:$A$1048576,Aerodromes!$B$2:$B$1048576)</f>
        <v>#N/A</v>
      </c>
      <c r="H137" s="10" t="e">
        <f>LOOKUP($G137,Aerodromes!$A$2:$A$1048576,Aerodromes!$B$2:$B$1048576)</f>
        <v>#N/A</v>
      </c>
      <c r="K137" s="13">
        <f t="shared" si="2"/>
        <v>0</v>
      </c>
      <c r="V137" s="34">
        <f>SUBTOTAL(9,$K$3:$K137)</f>
        <v>0</v>
      </c>
      <c r="W137" s="35">
        <f>SUBTOTAL(9,$R$3:$R137)</f>
        <v>0</v>
      </c>
      <c r="X137" s="36">
        <f>SUBTOTAL(9,$S$3:$S137)</f>
        <v>0</v>
      </c>
      <c r="Y137" s="23">
        <f>SUBTOTAL(9,$L$3:$L137)</f>
        <v>0</v>
      </c>
      <c r="Z137" s="10">
        <f>SUBTOTAL(9,$M$3:$M137)</f>
        <v>0</v>
      </c>
    </row>
    <row r="138" spans="3:26" x14ac:dyDescent="0.25">
      <c r="C138" s="9" t="e">
        <f>LOOKUP($B138,Aircrafts!$A$2:$A$1048576,Aircrafts!$B$2:$B$1048576)</f>
        <v>#N/A</v>
      </c>
      <c r="D138" s="10" t="e">
        <f>LOOKUP($B138,Aircrafts!$A$2:$A$1048576,Aircrafts!$C$2:$C$1048576)</f>
        <v>#N/A</v>
      </c>
      <c r="F138" s="10" t="e">
        <f>LOOKUP($E138,Aerodromes!$A$2:$A$1048576,Aerodromes!$B$2:$B$1048576)</f>
        <v>#N/A</v>
      </c>
      <c r="H138" s="10" t="e">
        <f>LOOKUP($G138,Aerodromes!$A$2:$A$1048576,Aerodromes!$B$2:$B$1048576)</f>
        <v>#N/A</v>
      </c>
      <c r="K138" s="13">
        <f t="shared" si="2"/>
        <v>0</v>
      </c>
      <c r="V138" s="34">
        <f>SUBTOTAL(9,$K$3:$K138)</f>
        <v>0</v>
      </c>
      <c r="W138" s="35">
        <f>SUBTOTAL(9,$R$3:$R138)</f>
        <v>0</v>
      </c>
      <c r="X138" s="36">
        <f>SUBTOTAL(9,$S$3:$S138)</f>
        <v>0</v>
      </c>
      <c r="Y138" s="23">
        <f>SUBTOTAL(9,$L$3:$L138)</f>
        <v>0</v>
      </c>
      <c r="Z138" s="10">
        <f>SUBTOTAL(9,$M$3:$M138)</f>
        <v>0</v>
      </c>
    </row>
    <row r="139" spans="3:26" x14ac:dyDescent="0.25">
      <c r="C139" s="9" t="e">
        <f>LOOKUP($B139,Aircrafts!$A$2:$A$1048576,Aircrafts!$B$2:$B$1048576)</f>
        <v>#N/A</v>
      </c>
      <c r="D139" s="10" t="e">
        <f>LOOKUP($B139,Aircrafts!$A$2:$A$1048576,Aircrafts!$C$2:$C$1048576)</f>
        <v>#N/A</v>
      </c>
      <c r="F139" s="10" t="e">
        <f>LOOKUP($E139,Aerodromes!$A$2:$A$1048576,Aerodromes!$B$2:$B$1048576)</f>
        <v>#N/A</v>
      </c>
      <c r="H139" s="10" t="e">
        <f>LOOKUP($G139,Aerodromes!$A$2:$A$1048576,Aerodromes!$B$2:$B$1048576)</f>
        <v>#N/A</v>
      </c>
      <c r="K139" s="13">
        <f t="shared" si="2"/>
        <v>0</v>
      </c>
      <c r="V139" s="34">
        <f>SUBTOTAL(9,$K$3:$K139)</f>
        <v>0</v>
      </c>
      <c r="W139" s="35">
        <f>SUBTOTAL(9,$R$3:$R139)</f>
        <v>0</v>
      </c>
      <c r="X139" s="36">
        <f>SUBTOTAL(9,$S$3:$S139)</f>
        <v>0</v>
      </c>
      <c r="Y139" s="23">
        <f>SUBTOTAL(9,$L$3:$L139)</f>
        <v>0</v>
      </c>
      <c r="Z139" s="10">
        <f>SUBTOTAL(9,$M$3:$M139)</f>
        <v>0</v>
      </c>
    </row>
    <row r="140" spans="3:26" x14ac:dyDescent="0.25">
      <c r="C140" s="9" t="e">
        <f>LOOKUP($B140,Aircrafts!$A$2:$A$1048576,Aircrafts!$B$2:$B$1048576)</f>
        <v>#N/A</v>
      </c>
      <c r="D140" s="10" t="e">
        <f>LOOKUP($B140,Aircrafts!$A$2:$A$1048576,Aircrafts!$C$2:$C$1048576)</f>
        <v>#N/A</v>
      </c>
      <c r="F140" s="10" t="e">
        <f>LOOKUP($E140,Aerodromes!$A$2:$A$1048576,Aerodromes!$B$2:$B$1048576)</f>
        <v>#N/A</v>
      </c>
      <c r="H140" s="10" t="e">
        <f>LOOKUP($G140,Aerodromes!$A$2:$A$1048576,Aerodromes!$B$2:$B$1048576)</f>
        <v>#N/A</v>
      </c>
      <c r="K140" s="13">
        <f t="shared" si="2"/>
        <v>0</v>
      </c>
      <c r="V140" s="34">
        <f>SUBTOTAL(9,$K$3:$K140)</f>
        <v>0</v>
      </c>
      <c r="W140" s="35">
        <f>SUBTOTAL(9,$R$3:$R140)</f>
        <v>0</v>
      </c>
      <c r="X140" s="36">
        <f>SUBTOTAL(9,$S$3:$S140)</f>
        <v>0</v>
      </c>
      <c r="Y140" s="23">
        <f>SUBTOTAL(9,$L$3:$L140)</f>
        <v>0</v>
      </c>
      <c r="Z140" s="10">
        <f>SUBTOTAL(9,$M$3:$M140)</f>
        <v>0</v>
      </c>
    </row>
    <row r="141" spans="3:26" x14ac:dyDescent="0.25">
      <c r="C141" s="9" t="e">
        <f>LOOKUP($B141,Aircrafts!$A$2:$A$1048576,Aircrafts!$B$2:$B$1048576)</f>
        <v>#N/A</v>
      </c>
      <c r="D141" s="10" t="e">
        <f>LOOKUP($B141,Aircrafts!$A$2:$A$1048576,Aircrafts!$C$2:$C$1048576)</f>
        <v>#N/A</v>
      </c>
      <c r="F141" s="10" t="e">
        <f>LOOKUP($E141,Aerodromes!$A$2:$A$1048576,Aerodromes!$B$2:$B$1048576)</f>
        <v>#N/A</v>
      </c>
      <c r="H141" s="10" t="e">
        <f>LOOKUP($G141,Aerodromes!$A$2:$A$1048576,Aerodromes!$B$2:$B$1048576)</f>
        <v>#N/A</v>
      </c>
      <c r="K141" s="13">
        <f t="shared" si="2"/>
        <v>0</v>
      </c>
      <c r="V141" s="34">
        <f>SUBTOTAL(9,$K$3:$K141)</f>
        <v>0</v>
      </c>
      <c r="W141" s="35">
        <f>SUBTOTAL(9,$R$3:$R141)</f>
        <v>0</v>
      </c>
      <c r="X141" s="36">
        <f>SUBTOTAL(9,$S$3:$S141)</f>
        <v>0</v>
      </c>
      <c r="Y141" s="23">
        <f>SUBTOTAL(9,$L$3:$L141)</f>
        <v>0</v>
      </c>
      <c r="Z141" s="10">
        <f>SUBTOTAL(9,$M$3:$M141)</f>
        <v>0</v>
      </c>
    </row>
    <row r="142" spans="3:26" x14ac:dyDescent="0.25">
      <c r="C142" s="9" t="e">
        <f>LOOKUP($B142,Aircrafts!$A$2:$A$1048576,Aircrafts!$B$2:$B$1048576)</f>
        <v>#N/A</v>
      </c>
      <c r="D142" s="10" t="e">
        <f>LOOKUP($B142,Aircrafts!$A$2:$A$1048576,Aircrafts!$C$2:$C$1048576)</f>
        <v>#N/A</v>
      </c>
      <c r="F142" s="10" t="e">
        <f>LOOKUP($E142,Aerodromes!$A$2:$A$1048576,Aerodromes!$B$2:$B$1048576)</f>
        <v>#N/A</v>
      </c>
      <c r="H142" s="10" t="e">
        <f>LOOKUP($G142,Aerodromes!$A$2:$A$1048576,Aerodromes!$B$2:$B$1048576)</f>
        <v>#N/A</v>
      </c>
      <c r="K142" s="13">
        <f t="shared" si="2"/>
        <v>0</v>
      </c>
      <c r="V142" s="34">
        <f>SUBTOTAL(9,$K$3:$K142)</f>
        <v>0</v>
      </c>
      <c r="W142" s="35">
        <f>SUBTOTAL(9,$R$3:$R142)</f>
        <v>0</v>
      </c>
      <c r="X142" s="36">
        <f>SUBTOTAL(9,$S$3:$S142)</f>
        <v>0</v>
      </c>
      <c r="Y142" s="23">
        <f>SUBTOTAL(9,$L$3:$L142)</f>
        <v>0</v>
      </c>
      <c r="Z142" s="10">
        <f>SUBTOTAL(9,$M$3:$M142)</f>
        <v>0</v>
      </c>
    </row>
    <row r="143" spans="3:26" x14ac:dyDescent="0.25">
      <c r="C143" s="9" t="e">
        <f>LOOKUP($B143,Aircrafts!$A$2:$A$1048576,Aircrafts!$B$2:$B$1048576)</f>
        <v>#N/A</v>
      </c>
      <c r="D143" s="10" t="e">
        <f>LOOKUP($B143,Aircrafts!$A$2:$A$1048576,Aircrafts!$C$2:$C$1048576)</f>
        <v>#N/A</v>
      </c>
      <c r="F143" s="10" t="e">
        <f>LOOKUP($E143,Aerodromes!$A$2:$A$1048576,Aerodromes!$B$2:$B$1048576)</f>
        <v>#N/A</v>
      </c>
      <c r="H143" s="10" t="e">
        <f>LOOKUP($G143,Aerodromes!$A$2:$A$1048576,Aerodromes!$B$2:$B$1048576)</f>
        <v>#N/A</v>
      </c>
      <c r="K143" s="13">
        <f t="shared" si="2"/>
        <v>0</v>
      </c>
      <c r="V143" s="34">
        <f>SUBTOTAL(9,$K$3:$K143)</f>
        <v>0</v>
      </c>
      <c r="W143" s="35">
        <f>SUBTOTAL(9,$R$3:$R143)</f>
        <v>0</v>
      </c>
      <c r="X143" s="36">
        <f>SUBTOTAL(9,$S$3:$S143)</f>
        <v>0</v>
      </c>
      <c r="Y143" s="23">
        <f>SUBTOTAL(9,$L$3:$L143)</f>
        <v>0</v>
      </c>
      <c r="Z143" s="10">
        <f>SUBTOTAL(9,$M$3:$M143)</f>
        <v>0</v>
      </c>
    </row>
    <row r="144" spans="3:26" x14ac:dyDescent="0.25">
      <c r="C144" s="9" t="e">
        <f>LOOKUP($B144,Aircrafts!$A$2:$A$1048576,Aircrafts!$B$2:$B$1048576)</f>
        <v>#N/A</v>
      </c>
      <c r="D144" s="10" t="e">
        <f>LOOKUP($B144,Aircrafts!$A$2:$A$1048576,Aircrafts!$C$2:$C$1048576)</f>
        <v>#N/A</v>
      </c>
      <c r="F144" s="10" t="e">
        <f>LOOKUP($E144,Aerodromes!$A$2:$A$1048576,Aerodromes!$B$2:$B$1048576)</f>
        <v>#N/A</v>
      </c>
      <c r="H144" s="10" t="e">
        <f>LOOKUP($G144,Aerodromes!$A$2:$A$1048576,Aerodromes!$B$2:$B$1048576)</f>
        <v>#N/A</v>
      </c>
      <c r="K144" s="13">
        <f t="shared" si="2"/>
        <v>0</v>
      </c>
      <c r="V144" s="34">
        <f>SUBTOTAL(9,$K$3:$K144)</f>
        <v>0</v>
      </c>
      <c r="W144" s="35">
        <f>SUBTOTAL(9,$R$3:$R144)</f>
        <v>0</v>
      </c>
      <c r="X144" s="36">
        <f>SUBTOTAL(9,$S$3:$S144)</f>
        <v>0</v>
      </c>
      <c r="Y144" s="23">
        <f>SUBTOTAL(9,$L$3:$L144)</f>
        <v>0</v>
      </c>
      <c r="Z144" s="10">
        <f>SUBTOTAL(9,$M$3:$M144)</f>
        <v>0</v>
      </c>
    </row>
    <row r="145" spans="3:26" x14ac:dyDescent="0.25">
      <c r="C145" s="9" t="e">
        <f>LOOKUP($B145,Aircrafts!$A$2:$A$1048576,Aircrafts!$B$2:$B$1048576)</f>
        <v>#N/A</v>
      </c>
      <c r="D145" s="10" t="e">
        <f>LOOKUP($B145,Aircrafts!$A$2:$A$1048576,Aircrafts!$C$2:$C$1048576)</f>
        <v>#N/A</v>
      </c>
      <c r="F145" s="10" t="e">
        <f>LOOKUP($E145,Aerodromes!$A$2:$A$1048576,Aerodromes!$B$2:$B$1048576)</f>
        <v>#N/A</v>
      </c>
      <c r="H145" s="10" t="e">
        <f>LOOKUP($G145,Aerodromes!$A$2:$A$1048576,Aerodromes!$B$2:$B$1048576)</f>
        <v>#N/A</v>
      </c>
      <c r="K145" s="13">
        <f t="shared" si="2"/>
        <v>0</v>
      </c>
      <c r="V145" s="34">
        <f>SUBTOTAL(9,$K$3:$K145)</f>
        <v>0</v>
      </c>
      <c r="W145" s="35">
        <f>SUBTOTAL(9,$R$3:$R145)</f>
        <v>0</v>
      </c>
      <c r="X145" s="36">
        <f>SUBTOTAL(9,$S$3:$S145)</f>
        <v>0</v>
      </c>
      <c r="Y145" s="23">
        <f>SUBTOTAL(9,$L$3:$L145)</f>
        <v>0</v>
      </c>
      <c r="Z145" s="10">
        <f>SUBTOTAL(9,$M$3:$M145)</f>
        <v>0</v>
      </c>
    </row>
    <row r="146" spans="3:26" x14ac:dyDescent="0.25">
      <c r="C146" s="9" t="e">
        <f>LOOKUP($B146,Aircrafts!$A$2:$A$1048576,Aircrafts!$B$2:$B$1048576)</f>
        <v>#N/A</v>
      </c>
      <c r="D146" s="10" t="e">
        <f>LOOKUP($B146,Aircrafts!$A$2:$A$1048576,Aircrafts!$C$2:$C$1048576)</f>
        <v>#N/A</v>
      </c>
      <c r="F146" s="10" t="e">
        <f>LOOKUP($E146,Aerodromes!$A$2:$A$1048576,Aerodromes!$B$2:$B$1048576)</f>
        <v>#N/A</v>
      </c>
      <c r="H146" s="10" t="e">
        <f>LOOKUP($G146,Aerodromes!$A$2:$A$1048576,Aerodromes!$B$2:$B$1048576)</f>
        <v>#N/A</v>
      </c>
      <c r="K146" s="13">
        <f t="shared" si="2"/>
        <v>0</v>
      </c>
      <c r="V146" s="34">
        <f>SUBTOTAL(9,$K$3:$K146)</f>
        <v>0</v>
      </c>
      <c r="W146" s="35">
        <f>SUBTOTAL(9,$R$3:$R146)</f>
        <v>0</v>
      </c>
      <c r="X146" s="36">
        <f>SUBTOTAL(9,$S$3:$S146)</f>
        <v>0</v>
      </c>
      <c r="Y146" s="23">
        <f>SUBTOTAL(9,$L$3:$L146)</f>
        <v>0</v>
      </c>
      <c r="Z146" s="10">
        <f>SUBTOTAL(9,$M$3:$M146)</f>
        <v>0</v>
      </c>
    </row>
    <row r="147" spans="3:26" x14ac:dyDescent="0.25">
      <c r="C147" s="9" t="e">
        <f>LOOKUP($B147,Aircrafts!$A$2:$A$1048576,Aircrafts!$B$2:$B$1048576)</f>
        <v>#N/A</v>
      </c>
      <c r="D147" s="10" t="e">
        <f>LOOKUP($B147,Aircrafts!$A$2:$A$1048576,Aircrafts!$C$2:$C$1048576)</f>
        <v>#N/A</v>
      </c>
      <c r="F147" s="10" t="e">
        <f>LOOKUP($E147,Aerodromes!$A$2:$A$1048576,Aerodromes!$B$2:$B$1048576)</f>
        <v>#N/A</v>
      </c>
      <c r="H147" s="10" t="e">
        <f>LOOKUP($G147,Aerodromes!$A$2:$A$1048576,Aerodromes!$B$2:$B$1048576)</f>
        <v>#N/A</v>
      </c>
      <c r="K147" s="13">
        <f t="shared" si="2"/>
        <v>0</v>
      </c>
      <c r="V147" s="34">
        <f>SUBTOTAL(9,$K$3:$K147)</f>
        <v>0</v>
      </c>
      <c r="W147" s="35">
        <f>SUBTOTAL(9,$R$3:$R147)</f>
        <v>0</v>
      </c>
      <c r="X147" s="36">
        <f>SUBTOTAL(9,$S$3:$S147)</f>
        <v>0</v>
      </c>
      <c r="Y147" s="23">
        <f>SUBTOTAL(9,$L$3:$L147)</f>
        <v>0</v>
      </c>
      <c r="Z147" s="10">
        <f>SUBTOTAL(9,$M$3:$M147)</f>
        <v>0</v>
      </c>
    </row>
    <row r="148" spans="3:26" x14ac:dyDescent="0.25">
      <c r="C148" s="9" t="e">
        <f>LOOKUP($B148,Aircrafts!$A$2:$A$1048576,Aircrafts!$B$2:$B$1048576)</f>
        <v>#N/A</v>
      </c>
      <c r="D148" s="10" t="e">
        <f>LOOKUP($B148,Aircrafts!$A$2:$A$1048576,Aircrafts!$C$2:$C$1048576)</f>
        <v>#N/A</v>
      </c>
      <c r="F148" s="10" t="e">
        <f>LOOKUP($E148,Aerodromes!$A$2:$A$1048576,Aerodromes!$B$2:$B$1048576)</f>
        <v>#N/A</v>
      </c>
      <c r="H148" s="10" t="e">
        <f>LOOKUP($G148,Aerodromes!$A$2:$A$1048576,Aerodromes!$B$2:$B$1048576)</f>
        <v>#N/A</v>
      </c>
      <c r="K148" s="13">
        <f t="shared" si="2"/>
        <v>0</v>
      </c>
      <c r="V148" s="34">
        <f>SUBTOTAL(9,$K$3:$K148)</f>
        <v>0</v>
      </c>
      <c r="W148" s="35">
        <f>SUBTOTAL(9,$R$3:$R148)</f>
        <v>0</v>
      </c>
      <c r="X148" s="36">
        <f>SUBTOTAL(9,$S$3:$S148)</f>
        <v>0</v>
      </c>
      <c r="Y148" s="23">
        <f>SUBTOTAL(9,$L$3:$L148)</f>
        <v>0</v>
      </c>
      <c r="Z148" s="10">
        <f>SUBTOTAL(9,$M$3:$M148)</f>
        <v>0</v>
      </c>
    </row>
    <row r="149" spans="3:26" x14ac:dyDescent="0.25">
      <c r="C149" s="9" t="e">
        <f>LOOKUP($B149,Aircrafts!$A$2:$A$1048576,Aircrafts!$B$2:$B$1048576)</f>
        <v>#N/A</v>
      </c>
      <c r="D149" s="10" t="e">
        <f>LOOKUP($B149,Aircrafts!$A$2:$A$1048576,Aircrafts!$C$2:$C$1048576)</f>
        <v>#N/A</v>
      </c>
      <c r="F149" s="10" t="e">
        <f>LOOKUP($E149,Aerodromes!$A$2:$A$1048576,Aerodromes!$B$2:$B$1048576)</f>
        <v>#N/A</v>
      </c>
      <c r="H149" s="10" t="e">
        <f>LOOKUP($G149,Aerodromes!$A$2:$A$1048576,Aerodromes!$B$2:$B$1048576)</f>
        <v>#N/A</v>
      </c>
      <c r="K149" s="13">
        <f t="shared" si="2"/>
        <v>0</v>
      </c>
      <c r="V149" s="34">
        <f>SUBTOTAL(9,$K$3:$K149)</f>
        <v>0</v>
      </c>
      <c r="W149" s="35">
        <f>SUBTOTAL(9,$R$3:$R149)</f>
        <v>0</v>
      </c>
      <c r="X149" s="36">
        <f>SUBTOTAL(9,$S$3:$S149)</f>
        <v>0</v>
      </c>
      <c r="Y149" s="23">
        <f>SUBTOTAL(9,$L$3:$L149)</f>
        <v>0</v>
      </c>
      <c r="Z149" s="10">
        <f>SUBTOTAL(9,$M$3:$M149)</f>
        <v>0</v>
      </c>
    </row>
    <row r="150" spans="3:26" x14ac:dyDescent="0.25">
      <c r="C150" s="9" t="e">
        <f>LOOKUP($B150,Aircrafts!$A$2:$A$1048576,Aircrafts!$B$2:$B$1048576)</f>
        <v>#N/A</v>
      </c>
      <c r="D150" s="10" t="e">
        <f>LOOKUP($B150,Aircrafts!$A$2:$A$1048576,Aircrafts!$C$2:$C$1048576)</f>
        <v>#N/A</v>
      </c>
      <c r="F150" s="10" t="e">
        <f>LOOKUP($E150,Aerodromes!$A$2:$A$1048576,Aerodromes!$B$2:$B$1048576)</f>
        <v>#N/A</v>
      </c>
      <c r="H150" s="10" t="e">
        <f>LOOKUP($G150,Aerodromes!$A$2:$A$1048576,Aerodromes!$B$2:$B$1048576)</f>
        <v>#N/A</v>
      </c>
      <c r="K150" s="13">
        <f t="shared" si="2"/>
        <v>0</v>
      </c>
      <c r="V150" s="34">
        <f>SUBTOTAL(9,$K$3:$K150)</f>
        <v>0</v>
      </c>
      <c r="W150" s="35">
        <f>SUBTOTAL(9,$R$3:$R150)</f>
        <v>0</v>
      </c>
      <c r="X150" s="36">
        <f>SUBTOTAL(9,$S$3:$S150)</f>
        <v>0</v>
      </c>
      <c r="Y150" s="23">
        <f>SUBTOTAL(9,$L$3:$L150)</f>
        <v>0</v>
      </c>
      <c r="Z150" s="10">
        <f>SUBTOTAL(9,$M$3:$M150)</f>
        <v>0</v>
      </c>
    </row>
    <row r="151" spans="3:26" x14ac:dyDescent="0.25">
      <c r="C151" s="9" t="e">
        <f>LOOKUP($B151,Aircrafts!$A$2:$A$1048576,Aircrafts!$B$2:$B$1048576)</f>
        <v>#N/A</v>
      </c>
      <c r="D151" s="10" t="e">
        <f>LOOKUP($B151,Aircrafts!$A$2:$A$1048576,Aircrafts!$C$2:$C$1048576)</f>
        <v>#N/A</v>
      </c>
      <c r="F151" s="10" t="e">
        <f>LOOKUP($E151,Aerodromes!$A$2:$A$1048576,Aerodromes!$B$2:$B$1048576)</f>
        <v>#N/A</v>
      </c>
      <c r="H151" s="10" t="e">
        <f>LOOKUP($G151,Aerodromes!$A$2:$A$1048576,Aerodromes!$B$2:$B$1048576)</f>
        <v>#N/A</v>
      </c>
      <c r="K151" s="13">
        <f t="shared" si="2"/>
        <v>0</v>
      </c>
      <c r="V151" s="34">
        <f>SUBTOTAL(9,$K$3:$K151)</f>
        <v>0</v>
      </c>
      <c r="W151" s="35">
        <f>SUBTOTAL(9,$R$3:$R151)</f>
        <v>0</v>
      </c>
      <c r="X151" s="36">
        <f>SUBTOTAL(9,$S$3:$S151)</f>
        <v>0</v>
      </c>
      <c r="Y151" s="23">
        <f>SUBTOTAL(9,$L$3:$L151)</f>
        <v>0</v>
      </c>
      <c r="Z151" s="10">
        <f>SUBTOTAL(9,$M$3:$M151)</f>
        <v>0</v>
      </c>
    </row>
    <row r="152" spans="3:26" x14ac:dyDescent="0.25">
      <c r="C152" s="9" t="e">
        <f>LOOKUP($B152,Aircrafts!$A$2:$A$1048576,Aircrafts!$B$2:$B$1048576)</f>
        <v>#N/A</v>
      </c>
      <c r="D152" s="10" t="e">
        <f>LOOKUP($B152,Aircrafts!$A$2:$A$1048576,Aircrafts!$C$2:$C$1048576)</f>
        <v>#N/A</v>
      </c>
      <c r="F152" s="10" t="e">
        <f>LOOKUP($E152,Aerodromes!$A$2:$A$1048576,Aerodromes!$B$2:$B$1048576)</f>
        <v>#N/A</v>
      </c>
      <c r="H152" s="10" t="e">
        <f>LOOKUP($G152,Aerodromes!$A$2:$A$1048576,Aerodromes!$B$2:$B$1048576)</f>
        <v>#N/A</v>
      </c>
      <c r="K152" s="13">
        <f t="shared" si="2"/>
        <v>0</v>
      </c>
      <c r="V152" s="34">
        <f>SUBTOTAL(9,$K$3:$K152)</f>
        <v>0</v>
      </c>
      <c r="W152" s="35">
        <f>SUBTOTAL(9,$R$3:$R152)</f>
        <v>0</v>
      </c>
      <c r="X152" s="36">
        <f>SUBTOTAL(9,$S$3:$S152)</f>
        <v>0</v>
      </c>
      <c r="Y152" s="23">
        <f>SUBTOTAL(9,$L$3:$L152)</f>
        <v>0</v>
      </c>
      <c r="Z152" s="10">
        <f>SUBTOTAL(9,$M$3:$M152)</f>
        <v>0</v>
      </c>
    </row>
    <row r="153" spans="3:26" x14ac:dyDescent="0.25">
      <c r="C153" s="9" t="e">
        <f>LOOKUP($B153,Aircrafts!$A$2:$A$1048576,Aircrafts!$B$2:$B$1048576)</f>
        <v>#N/A</v>
      </c>
      <c r="D153" s="10" t="e">
        <f>LOOKUP($B153,Aircrafts!$A$2:$A$1048576,Aircrafts!$C$2:$C$1048576)</f>
        <v>#N/A</v>
      </c>
      <c r="F153" s="10" t="e">
        <f>LOOKUP($E153,Aerodromes!$A$2:$A$1048576,Aerodromes!$B$2:$B$1048576)</f>
        <v>#N/A</v>
      </c>
      <c r="H153" s="10" t="e">
        <f>LOOKUP($G153,Aerodromes!$A$2:$A$1048576,Aerodromes!$B$2:$B$1048576)</f>
        <v>#N/A</v>
      </c>
      <c r="K153" s="13">
        <f t="shared" si="2"/>
        <v>0</v>
      </c>
      <c r="V153" s="34">
        <f>SUBTOTAL(9,$K$3:$K153)</f>
        <v>0</v>
      </c>
      <c r="W153" s="35">
        <f>SUBTOTAL(9,$R$3:$R153)</f>
        <v>0</v>
      </c>
      <c r="X153" s="36">
        <f>SUBTOTAL(9,$S$3:$S153)</f>
        <v>0</v>
      </c>
      <c r="Y153" s="23">
        <f>SUBTOTAL(9,$L$3:$L153)</f>
        <v>0</v>
      </c>
      <c r="Z153" s="10">
        <f>SUBTOTAL(9,$M$3:$M153)</f>
        <v>0</v>
      </c>
    </row>
    <row r="154" spans="3:26" x14ac:dyDescent="0.25">
      <c r="C154" s="9" t="e">
        <f>LOOKUP($B154,Aircrafts!$A$2:$A$1048576,Aircrafts!$B$2:$B$1048576)</f>
        <v>#N/A</v>
      </c>
      <c r="D154" s="10" t="e">
        <f>LOOKUP($B154,Aircrafts!$A$2:$A$1048576,Aircrafts!$C$2:$C$1048576)</f>
        <v>#N/A</v>
      </c>
      <c r="F154" s="10" t="e">
        <f>LOOKUP($E154,Aerodromes!$A$2:$A$1048576,Aerodromes!$B$2:$B$1048576)</f>
        <v>#N/A</v>
      </c>
      <c r="H154" s="10" t="e">
        <f>LOOKUP($G154,Aerodromes!$A$2:$A$1048576,Aerodromes!$B$2:$B$1048576)</f>
        <v>#N/A</v>
      </c>
      <c r="K154" s="13">
        <f t="shared" si="2"/>
        <v>0</v>
      </c>
      <c r="V154" s="34">
        <f>SUBTOTAL(9,$K$3:$K154)</f>
        <v>0</v>
      </c>
      <c r="W154" s="35">
        <f>SUBTOTAL(9,$R$3:$R154)</f>
        <v>0</v>
      </c>
      <c r="X154" s="36">
        <f>SUBTOTAL(9,$S$3:$S154)</f>
        <v>0</v>
      </c>
      <c r="Y154" s="23">
        <f>SUBTOTAL(9,$L$3:$L154)</f>
        <v>0</v>
      </c>
      <c r="Z154" s="10">
        <f>SUBTOTAL(9,$M$3:$M154)</f>
        <v>0</v>
      </c>
    </row>
    <row r="155" spans="3:26" x14ac:dyDescent="0.25">
      <c r="C155" s="9" t="e">
        <f>LOOKUP($B155,Aircrafts!$A$2:$A$1048576,Aircrafts!$B$2:$B$1048576)</f>
        <v>#N/A</v>
      </c>
      <c r="D155" s="10" t="e">
        <f>LOOKUP($B155,Aircrafts!$A$2:$A$1048576,Aircrafts!$C$2:$C$1048576)</f>
        <v>#N/A</v>
      </c>
      <c r="F155" s="10" t="e">
        <f>LOOKUP($E155,Aerodromes!$A$2:$A$1048576,Aerodromes!$B$2:$B$1048576)</f>
        <v>#N/A</v>
      </c>
      <c r="H155" s="10" t="e">
        <f>LOOKUP($G155,Aerodromes!$A$2:$A$1048576,Aerodromes!$B$2:$B$1048576)</f>
        <v>#N/A</v>
      </c>
      <c r="K155" s="13">
        <f t="shared" si="2"/>
        <v>0</v>
      </c>
      <c r="V155" s="34">
        <f>SUBTOTAL(9,$K$3:$K155)</f>
        <v>0</v>
      </c>
      <c r="W155" s="35">
        <f>SUBTOTAL(9,$R$3:$R155)</f>
        <v>0</v>
      </c>
      <c r="X155" s="36">
        <f>SUBTOTAL(9,$S$3:$S155)</f>
        <v>0</v>
      </c>
      <c r="Y155" s="23">
        <f>SUBTOTAL(9,$L$3:$L155)</f>
        <v>0</v>
      </c>
      <c r="Z155" s="10">
        <f>SUBTOTAL(9,$M$3:$M155)</f>
        <v>0</v>
      </c>
    </row>
    <row r="156" spans="3:26" x14ac:dyDescent="0.25">
      <c r="C156" s="9" t="e">
        <f>LOOKUP($B156,Aircrafts!$A$2:$A$1048576,Aircrafts!$B$2:$B$1048576)</f>
        <v>#N/A</v>
      </c>
      <c r="D156" s="10" t="e">
        <f>LOOKUP($B156,Aircrafts!$A$2:$A$1048576,Aircrafts!$C$2:$C$1048576)</f>
        <v>#N/A</v>
      </c>
      <c r="F156" s="10" t="e">
        <f>LOOKUP($E156,Aerodromes!$A$2:$A$1048576,Aerodromes!$B$2:$B$1048576)</f>
        <v>#N/A</v>
      </c>
      <c r="H156" s="10" t="e">
        <f>LOOKUP($G156,Aerodromes!$A$2:$A$1048576,Aerodromes!$B$2:$B$1048576)</f>
        <v>#N/A</v>
      </c>
      <c r="K156" s="13">
        <f t="shared" si="2"/>
        <v>0</v>
      </c>
      <c r="V156" s="34">
        <f>SUBTOTAL(9,$K$3:$K156)</f>
        <v>0</v>
      </c>
      <c r="W156" s="35">
        <f>SUBTOTAL(9,$R$3:$R156)</f>
        <v>0</v>
      </c>
      <c r="X156" s="36">
        <f>SUBTOTAL(9,$S$3:$S156)</f>
        <v>0</v>
      </c>
      <c r="Y156" s="23">
        <f>SUBTOTAL(9,$L$3:$L156)</f>
        <v>0</v>
      </c>
      <c r="Z156" s="10">
        <f>SUBTOTAL(9,$M$3:$M156)</f>
        <v>0</v>
      </c>
    </row>
    <row r="157" spans="3:26" x14ac:dyDescent="0.25">
      <c r="C157" s="9" t="e">
        <f>LOOKUP($B157,Aircrafts!$A$2:$A$1048576,Aircrafts!$B$2:$B$1048576)</f>
        <v>#N/A</v>
      </c>
      <c r="D157" s="10" t="e">
        <f>LOOKUP($B157,Aircrafts!$A$2:$A$1048576,Aircrafts!$C$2:$C$1048576)</f>
        <v>#N/A</v>
      </c>
      <c r="F157" s="10" t="e">
        <f>LOOKUP($E157,Aerodromes!$A$2:$A$1048576,Aerodromes!$B$2:$B$1048576)</f>
        <v>#N/A</v>
      </c>
      <c r="H157" s="10" t="e">
        <f>LOOKUP($G157,Aerodromes!$A$2:$A$1048576,Aerodromes!$B$2:$B$1048576)</f>
        <v>#N/A</v>
      </c>
      <c r="K157" s="13">
        <f t="shared" si="2"/>
        <v>0</v>
      </c>
      <c r="V157" s="34">
        <f>SUBTOTAL(9,$K$3:$K157)</f>
        <v>0</v>
      </c>
      <c r="W157" s="35">
        <f>SUBTOTAL(9,$R$3:$R157)</f>
        <v>0</v>
      </c>
      <c r="X157" s="36">
        <f>SUBTOTAL(9,$S$3:$S157)</f>
        <v>0</v>
      </c>
      <c r="Y157" s="23">
        <f>SUBTOTAL(9,$L$3:$L157)</f>
        <v>0</v>
      </c>
      <c r="Z157" s="10">
        <f>SUBTOTAL(9,$M$3:$M157)</f>
        <v>0</v>
      </c>
    </row>
    <row r="158" spans="3:26" x14ac:dyDescent="0.25">
      <c r="C158" s="9" t="e">
        <f>LOOKUP($B158,Aircrafts!$A$2:$A$1048576,Aircrafts!$B$2:$B$1048576)</f>
        <v>#N/A</v>
      </c>
      <c r="D158" s="10" t="e">
        <f>LOOKUP($B158,Aircrafts!$A$2:$A$1048576,Aircrafts!$C$2:$C$1048576)</f>
        <v>#N/A</v>
      </c>
      <c r="F158" s="10" t="e">
        <f>LOOKUP($E158,Aerodromes!$A$2:$A$1048576,Aerodromes!$B$2:$B$1048576)</f>
        <v>#N/A</v>
      </c>
      <c r="H158" s="10" t="e">
        <f>LOOKUP($G158,Aerodromes!$A$2:$A$1048576,Aerodromes!$B$2:$B$1048576)</f>
        <v>#N/A</v>
      </c>
      <c r="K158" s="13">
        <f t="shared" si="2"/>
        <v>0</v>
      </c>
      <c r="V158" s="34">
        <f>SUBTOTAL(9,$K$3:$K158)</f>
        <v>0</v>
      </c>
      <c r="W158" s="35">
        <f>SUBTOTAL(9,$R$3:$R158)</f>
        <v>0</v>
      </c>
      <c r="X158" s="36">
        <f>SUBTOTAL(9,$S$3:$S158)</f>
        <v>0</v>
      </c>
      <c r="Y158" s="23">
        <f>SUBTOTAL(9,$L$3:$L158)</f>
        <v>0</v>
      </c>
      <c r="Z158" s="10">
        <f>SUBTOTAL(9,$M$3:$M158)</f>
        <v>0</v>
      </c>
    </row>
    <row r="159" spans="3:26" x14ac:dyDescent="0.25">
      <c r="C159" s="9" t="e">
        <f>LOOKUP($B159,Aircrafts!$A$2:$A$1048576,Aircrafts!$B$2:$B$1048576)</f>
        <v>#N/A</v>
      </c>
      <c r="D159" s="10" t="e">
        <f>LOOKUP($B159,Aircrafts!$A$2:$A$1048576,Aircrafts!$C$2:$C$1048576)</f>
        <v>#N/A</v>
      </c>
      <c r="F159" s="10" t="e">
        <f>LOOKUP($E159,Aerodromes!$A$2:$A$1048576,Aerodromes!$B$2:$B$1048576)</f>
        <v>#N/A</v>
      </c>
      <c r="H159" s="10" t="e">
        <f>LOOKUP($G159,Aerodromes!$A$2:$A$1048576,Aerodromes!$B$2:$B$1048576)</f>
        <v>#N/A</v>
      </c>
      <c r="K159" s="13">
        <f t="shared" si="2"/>
        <v>0</v>
      </c>
      <c r="V159" s="34">
        <f>SUBTOTAL(9,$K$3:$K159)</f>
        <v>0</v>
      </c>
      <c r="W159" s="35">
        <f>SUBTOTAL(9,$R$3:$R159)</f>
        <v>0</v>
      </c>
      <c r="X159" s="36">
        <f>SUBTOTAL(9,$S$3:$S159)</f>
        <v>0</v>
      </c>
      <c r="Y159" s="23">
        <f>SUBTOTAL(9,$L$3:$L159)</f>
        <v>0</v>
      </c>
      <c r="Z159" s="10">
        <f>SUBTOTAL(9,$M$3:$M159)</f>
        <v>0</v>
      </c>
    </row>
    <row r="160" spans="3:26" x14ac:dyDescent="0.25">
      <c r="C160" s="9" t="e">
        <f>LOOKUP($B160,Aircrafts!$A$2:$A$1048576,Aircrafts!$B$2:$B$1048576)</f>
        <v>#N/A</v>
      </c>
      <c r="D160" s="10" t="e">
        <f>LOOKUP($B160,Aircrafts!$A$2:$A$1048576,Aircrafts!$C$2:$C$1048576)</f>
        <v>#N/A</v>
      </c>
      <c r="F160" s="10" t="e">
        <f>LOOKUP($E160,Aerodromes!$A$2:$A$1048576,Aerodromes!$B$2:$B$1048576)</f>
        <v>#N/A</v>
      </c>
      <c r="H160" s="10" t="e">
        <f>LOOKUP($G160,Aerodromes!$A$2:$A$1048576,Aerodromes!$B$2:$B$1048576)</f>
        <v>#N/A</v>
      </c>
      <c r="K160" s="13">
        <f t="shared" si="2"/>
        <v>0</v>
      </c>
      <c r="V160" s="34">
        <f>SUBTOTAL(9,$K$3:$K160)</f>
        <v>0</v>
      </c>
      <c r="W160" s="35">
        <f>SUBTOTAL(9,$R$3:$R160)</f>
        <v>0</v>
      </c>
      <c r="X160" s="36">
        <f>SUBTOTAL(9,$S$3:$S160)</f>
        <v>0</v>
      </c>
      <c r="Y160" s="23">
        <f>SUBTOTAL(9,$L$3:$L160)</f>
        <v>0</v>
      </c>
      <c r="Z160" s="10">
        <f>SUBTOTAL(9,$M$3:$M160)</f>
        <v>0</v>
      </c>
    </row>
    <row r="161" spans="3:26" x14ac:dyDescent="0.25">
      <c r="C161" s="9" t="e">
        <f>LOOKUP($B161,Aircrafts!$A$2:$A$1048576,Aircrafts!$B$2:$B$1048576)</f>
        <v>#N/A</v>
      </c>
      <c r="D161" s="10" t="e">
        <f>LOOKUP($B161,Aircrafts!$A$2:$A$1048576,Aircrafts!$C$2:$C$1048576)</f>
        <v>#N/A</v>
      </c>
      <c r="F161" s="10" t="e">
        <f>LOOKUP($E161,Aerodromes!$A$2:$A$1048576,Aerodromes!$B$2:$B$1048576)</f>
        <v>#N/A</v>
      </c>
      <c r="H161" s="10" t="e">
        <f>LOOKUP($G161,Aerodromes!$A$2:$A$1048576,Aerodromes!$B$2:$B$1048576)</f>
        <v>#N/A</v>
      </c>
      <c r="K161" s="13">
        <f t="shared" si="2"/>
        <v>0</v>
      </c>
      <c r="V161" s="34">
        <f>SUBTOTAL(9,$K$3:$K161)</f>
        <v>0</v>
      </c>
      <c r="W161" s="35">
        <f>SUBTOTAL(9,$R$3:$R161)</f>
        <v>0</v>
      </c>
      <c r="X161" s="36">
        <f>SUBTOTAL(9,$S$3:$S161)</f>
        <v>0</v>
      </c>
      <c r="Y161" s="23">
        <f>SUBTOTAL(9,$L$3:$L161)</f>
        <v>0</v>
      </c>
      <c r="Z161" s="10">
        <f>SUBTOTAL(9,$M$3:$M161)</f>
        <v>0</v>
      </c>
    </row>
    <row r="162" spans="3:26" x14ac:dyDescent="0.25">
      <c r="C162" s="9" t="e">
        <f>LOOKUP($B162,Aircrafts!$A$2:$A$1048576,Aircrafts!$B$2:$B$1048576)</f>
        <v>#N/A</v>
      </c>
      <c r="D162" s="10" t="e">
        <f>LOOKUP($B162,Aircrafts!$A$2:$A$1048576,Aircrafts!$C$2:$C$1048576)</f>
        <v>#N/A</v>
      </c>
      <c r="F162" s="10" t="e">
        <f>LOOKUP($E162,Aerodromes!$A$2:$A$1048576,Aerodromes!$B$2:$B$1048576)</f>
        <v>#N/A</v>
      </c>
      <c r="H162" s="10" t="e">
        <f>LOOKUP($G162,Aerodromes!$A$2:$A$1048576,Aerodromes!$B$2:$B$1048576)</f>
        <v>#N/A</v>
      </c>
      <c r="K162" s="13">
        <f t="shared" si="2"/>
        <v>0</v>
      </c>
      <c r="V162" s="34">
        <f>SUBTOTAL(9,$K$3:$K162)</f>
        <v>0</v>
      </c>
      <c r="W162" s="35">
        <f>SUBTOTAL(9,$R$3:$R162)</f>
        <v>0</v>
      </c>
      <c r="X162" s="36">
        <f>SUBTOTAL(9,$S$3:$S162)</f>
        <v>0</v>
      </c>
      <c r="Y162" s="23">
        <f>SUBTOTAL(9,$L$3:$L162)</f>
        <v>0</v>
      </c>
      <c r="Z162" s="10">
        <f>SUBTOTAL(9,$M$3:$M162)</f>
        <v>0</v>
      </c>
    </row>
    <row r="163" spans="3:26" x14ac:dyDescent="0.25">
      <c r="C163" s="9" t="e">
        <f>LOOKUP($B163,Aircrafts!$A$2:$A$1048576,Aircrafts!$B$2:$B$1048576)</f>
        <v>#N/A</v>
      </c>
      <c r="D163" s="10" t="e">
        <f>LOOKUP($B163,Aircrafts!$A$2:$A$1048576,Aircrafts!$C$2:$C$1048576)</f>
        <v>#N/A</v>
      </c>
      <c r="F163" s="10" t="e">
        <f>LOOKUP($E163,Aerodromes!$A$2:$A$1048576,Aerodromes!$B$2:$B$1048576)</f>
        <v>#N/A</v>
      </c>
      <c r="H163" s="10" t="e">
        <f>LOOKUP($G163,Aerodromes!$A$2:$A$1048576,Aerodromes!$B$2:$B$1048576)</f>
        <v>#N/A</v>
      </c>
      <c r="K163" s="13">
        <f t="shared" si="2"/>
        <v>0</v>
      </c>
      <c r="V163" s="34">
        <f>SUBTOTAL(9,$K$3:$K163)</f>
        <v>0</v>
      </c>
      <c r="W163" s="35">
        <f>SUBTOTAL(9,$R$3:$R163)</f>
        <v>0</v>
      </c>
      <c r="X163" s="36">
        <f>SUBTOTAL(9,$S$3:$S163)</f>
        <v>0</v>
      </c>
      <c r="Y163" s="23">
        <f>SUBTOTAL(9,$L$3:$L163)</f>
        <v>0</v>
      </c>
      <c r="Z163" s="10">
        <f>SUBTOTAL(9,$M$3:$M163)</f>
        <v>0</v>
      </c>
    </row>
    <row r="164" spans="3:26" x14ac:dyDescent="0.25">
      <c r="C164" s="9" t="e">
        <f>LOOKUP($B164,Aircrafts!$A$2:$A$1048576,Aircrafts!$B$2:$B$1048576)</f>
        <v>#N/A</v>
      </c>
      <c r="D164" s="10" t="e">
        <f>LOOKUP($B164,Aircrafts!$A$2:$A$1048576,Aircrafts!$C$2:$C$1048576)</f>
        <v>#N/A</v>
      </c>
      <c r="F164" s="10" t="e">
        <f>LOOKUP($E164,Aerodromes!$A$2:$A$1048576,Aerodromes!$B$2:$B$1048576)</f>
        <v>#N/A</v>
      </c>
      <c r="H164" s="10" t="e">
        <f>LOOKUP($G164,Aerodromes!$A$2:$A$1048576,Aerodromes!$B$2:$B$1048576)</f>
        <v>#N/A</v>
      </c>
      <c r="K164" s="13">
        <f t="shared" si="2"/>
        <v>0</v>
      </c>
      <c r="V164" s="34">
        <f>SUBTOTAL(9,$K$3:$K164)</f>
        <v>0</v>
      </c>
      <c r="W164" s="35">
        <f>SUBTOTAL(9,$R$3:$R164)</f>
        <v>0</v>
      </c>
      <c r="X164" s="36">
        <f>SUBTOTAL(9,$S$3:$S164)</f>
        <v>0</v>
      </c>
      <c r="Y164" s="23">
        <f>SUBTOTAL(9,$L$3:$L164)</f>
        <v>0</v>
      </c>
      <c r="Z164" s="10">
        <f>SUBTOTAL(9,$M$3:$M164)</f>
        <v>0</v>
      </c>
    </row>
    <row r="165" spans="3:26" x14ac:dyDescent="0.25">
      <c r="C165" s="9" t="e">
        <f>LOOKUP($B165,Aircrafts!$A$2:$A$1048576,Aircrafts!$B$2:$B$1048576)</f>
        <v>#N/A</v>
      </c>
      <c r="D165" s="10" t="e">
        <f>LOOKUP($B165,Aircrafts!$A$2:$A$1048576,Aircrafts!$C$2:$C$1048576)</f>
        <v>#N/A</v>
      </c>
      <c r="F165" s="10" t="e">
        <f>LOOKUP($E165,Aerodromes!$A$2:$A$1048576,Aerodromes!$B$2:$B$1048576)</f>
        <v>#N/A</v>
      </c>
      <c r="H165" s="10" t="e">
        <f>LOOKUP($G165,Aerodromes!$A$2:$A$1048576,Aerodromes!$B$2:$B$1048576)</f>
        <v>#N/A</v>
      </c>
      <c r="K165" s="13">
        <f t="shared" si="2"/>
        <v>0</v>
      </c>
      <c r="V165" s="34">
        <f>SUBTOTAL(9,$K$3:$K165)</f>
        <v>0</v>
      </c>
      <c r="W165" s="35">
        <f>SUBTOTAL(9,$R$3:$R165)</f>
        <v>0</v>
      </c>
      <c r="X165" s="36">
        <f>SUBTOTAL(9,$S$3:$S165)</f>
        <v>0</v>
      </c>
      <c r="Y165" s="23">
        <f>SUBTOTAL(9,$L$3:$L165)</f>
        <v>0</v>
      </c>
      <c r="Z165" s="10">
        <f>SUBTOTAL(9,$M$3:$M165)</f>
        <v>0</v>
      </c>
    </row>
    <row r="166" spans="3:26" x14ac:dyDescent="0.25">
      <c r="C166" s="9" t="e">
        <f>LOOKUP($B166,Aircrafts!$A$2:$A$1048576,Aircrafts!$B$2:$B$1048576)</f>
        <v>#N/A</v>
      </c>
      <c r="D166" s="10" t="e">
        <f>LOOKUP($B166,Aircrafts!$A$2:$A$1048576,Aircrafts!$C$2:$C$1048576)</f>
        <v>#N/A</v>
      </c>
      <c r="F166" s="10" t="e">
        <f>LOOKUP($E166,Aerodromes!$A$2:$A$1048576,Aerodromes!$B$2:$B$1048576)</f>
        <v>#N/A</v>
      </c>
      <c r="H166" s="10" t="e">
        <f>LOOKUP($G166,Aerodromes!$A$2:$A$1048576,Aerodromes!$B$2:$B$1048576)</f>
        <v>#N/A</v>
      </c>
      <c r="K166" s="13">
        <f t="shared" si="2"/>
        <v>0</v>
      </c>
      <c r="V166" s="34">
        <f>SUBTOTAL(9,$K$3:$K166)</f>
        <v>0</v>
      </c>
      <c r="W166" s="35">
        <f>SUBTOTAL(9,$R$3:$R166)</f>
        <v>0</v>
      </c>
      <c r="X166" s="36">
        <f>SUBTOTAL(9,$S$3:$S166)</f>
        <v>0</v>
      </c>
      <c r="Y166" s="23">
        <f>SUBTOTAL(9,$L$3:$L166)</f>
        <v>0</v>
      </c>
      <c r="Z166" s="10">
        <f>SUBTOTAL(9,$M$3:$M166)</f>
        <v>0</v>
      </c>
    </row>
    <row r="167" spans="3:26" x14ac:dyDescent="0.25">
      <c r="C167" s="9" t="e">
        <f>LOOKUP($B167,Aircrafts!$A$2:$A$1048576,Aircrafts!$B$2:$B$1048576)</f>
        <v>#N/A</v>
      </c>
      <c r="D167" s="10" t="e">
        <f>LOOKUP($B167,Aircrafts!$A$2:$A$1048576,Aircrafts!$C$2:$C$1048576)</f>
        <v>#N/A</v>
      </c>
      <c r="F167" s="10" t="e">
        <f>LOOKUP($E167,Aerodromes!$A$2:$A$1048576,Aerodromes!$B$2:$B$1048576)</f>
        <v>#N/A</v>
      </c>
      <c r="H167" s="10" t="e">
        <f>LOOKUP($G167,Aerodromes!$A$2:$A$1048576,Aerodromes!$B$2:$B$1048576)</f>
        <v>#N/A</v>
      </c>
      <c r="K167" s="13">
        <f t="shared" si="2"/>
        <v>0</v>
      </c>
      <c r="V167" s="34">
        <f>SUBTOTAL(9,$K$3:$K167)</f>
        <v>0</v>
      </c>
      <c r="W167" s="35">
        <f>SUBTOTAL(9,$R$3:$R167)</f>
        <v>0</v>
      </c>
      <c r="X167" s="36">
        <f>SUBTOTAL(9,$S$3:$S167)</f>
        <v>0</v>
      </c>
      <c r="Y167" s="23">
        <f>SUBTOTAL(9,$L$3:$L167)</f>
        <v>0</v>
      </c>
      <c r="Z167" s="10">
        <f>SUBTOTAL(9,$M$3:$M167)</f>
        <v>0</v>
      </c>
    </row>
    <row r="168" spans="3:26" x14ac:dyDescent="0.25">
      <c r="C168" s="9" t="e">
        <f>LOOKUP($B168,Aircrafts!$A$2:$A$1048576,Aircrafts!$B$2:$B$1048576)</f>
        <v>#N/A</v>
      </c>
      <c r="D168" s="10" t="e">
        <f>LOOKUP($B168,Aircrafts!$A$2:$A$1048576,Aircrafts!$C$2:$C$1048576)</f>
        <v>#N/A</v>
      </c>
      <c r="F168" s="10" t="e">
        <f>LOOKUP($E168,Aerodromes!$A$2:$A$1048576,Aerodromes!$B$2:$B$1048576)</f>
        <v>#N/A</v>
      </c>
      <c r="H168" s="10" t="e">
        <f>LOOKUP($G168,Aerodromes!$A$2:$A$1048576,Aerodromes!$B$2:$B$1048576)</f>
        <v>#N/A</v>
      </c>
      <c r="K168" s="13">
        <f t="shared" si="2"/>
        <v>0</v>
      </c>
      <c r="V168" s="34">
        <f>SUBTOTAL(9,$K$3:$K168)</f>
        <v>0</v>
      </c>
      <c r="W168" s="35">
        <f>SUBTOTAL(9,$R$3:$R168)</f>
        <v>0</v>
      </c>
      <c r="X168" s="36">
        <f>SUBTOTAL(9,$S$3:$S168)</f>
        <v>0</v>
      </c>
      <c r="Y168" s="23">
        <f>SUBTOTAL(9,$L$3:$L168)</f>
        <v>0</v>
      </c>
      <c r="Z168" s="10">
        <f>SUBTOTAL(9,$M$3:$M168)</f>
        <v>0</v>
      </c>
    </row>
    <row r="169" spans="3:26" x14ac:dyDescent="0.25">
      <c r="C169" s="9" t="e">
        <f>LOOKUP($B169,Aircrafts!$A$2:$A$1048576,Aircrafts!$B$2:$B$1048576)</f>
        <v>#N/A</v>
      </c>
      <c r="D169" s="10" t="e">
        <f>LOOKUP($B169,Aircrafts!$A$2:$A$1048576,Aircrafts!$C$2:$C$1048576)</f>
        <v>#N/A</v>
      </c>
      <c r="F169" s="10" t="e">
        <f>LOOKUP($E169,Aerodromes!$A$2:$A$1048576,Aerodromes!$B$2:$B$1048576)</f>
        <v>#N/A</v>
      </c>
      <c r="H169" s="10" t="e">
        <f>LOOKUP($G169,Aerodromes!$A$2:$A$1048576,Aerodromes!$B$2:$B$1048576)</f>
        <v>#N/A</v>
      </c>
      <c r="K169" s="13">
        <f t="shared" si="2"/>
        <v>0</v>
      </c>
      <c r="V169" s="34">
        <f>SUBTOTAL(9,$K$3:$K169)</f>
        <v>0</v>
      </c>
      <c r="W169" s="35">
        <f>SUBTOTAL(9,$R$3:$R169)</f>
        <v>0</v>
      </c>
      <c r="X169" s="36">
        <f>SUBTOTAL(9,$S$3:$S169)</f>
        <v>0</v>
      </c>
      <c r="Y169" s="23">
        <f>SUBTOTAL(9,$L$3:$L169)</f>
        <v>0</v>
      </c>
      <c r="Z169" s="10">
        <f>SUBTOTAL(9,$M$3:$M169)</f>
        <v>0</v>
      </c>
    </row>
    <row r="170" spans="3:26" x14ac:dyDescent="0.25">
      <c r="C170" s="9" t="e">
        <f>LOOKUP($B170,Aircrafts!$A$2:$A$1048576,Aircrafts!$B$2:$B$1048576)</f>
        <v>#N/A</v>
      </c>
      <c r="D170" s="10" t="e">
        <f>LOOKUP($B170,Aircrafts!$A$2:$A$1048576,Aircrafts!$C$2:$C$1048576)</f>
        <v>#N/A</v>
      </c>
      <c r="F170" s="10" t="e">
        <f>LOOKUP($E170,Aerodromes!$A$2:$A$1048576,Aerodromes!$B$2:$B$1048576)</f>
        <v>#N/A</v>
      </c>
      <c r="H170" s="10" t="e">
        <f>LOOKUP($G170,Aerodromes!$A$2:$A$1048576,Aerodromes!$B$2:$B$1048576)</f>
        <v>#N/A</v>
      </c>
      <c r="K170" s="13">
        <f t="shared" si="2"/>
        <v>0</v>
      </c>
      <c r="V170" s="34">
        <f>SUBTOTAL(9,$K$3:$K170)</f>
        <v>0</v>
      </c>
      <c r="W170" s="35">
        <f>SUBTOTAL(9,$R$3:$R170)</f>
        <v>0</v>
      </c>
      <c r="X170" s="36">
        <f>SUBTOTAL(9,$S$3:$S170)</f>
        <v>0</v>
      </c>
      <c r="Y170" s="23">
        <f>SUBTOTAL(9,$L$3:$L170)</f>
        <v>0</v>
      </c>
      <c r="Z170" s="10">
        <f>SUBTOTAL(9,$M$3:$M170)</f>
        <v>0</v>
      </c>
    </row>
    <row r="171" spans="3:26" x14ac:dyDescent="0.25">
      <c r="C171" s="9" t="e">
        <f>LOOKUP($B171,Aircrafts!$A$2:$A$1048576,Aircrafts!$B$2:$B$1048576)</f>
        <v>#N/A</v>
      </c>
      <c r="D171" s="10" t="e">
        <f>LOOKUP($B171,Aircrafts!$A$2:$A$1048576,Aircrafts!$C$2:$C$1048576)</f>
        <v>#N/A</v>
      </c>
      <c r="F171" s="10" t="e">
        <f>LOOKUP($E171,Aerodromes!$A$2:$A$1048576,Aerodromes!$B$2:$B$1048576)</f>
        <v>#N/A</v>
      </c>
      <c r="H171" s="10" t="e">
        <f>LOOKUP($G171,Aerodromes!$A$2:$A$1048576,Aerodromes!$B$2:$B$1048576)</f>
        <v>#N/A</v>
      </c>
      <c r="K171" s="13">
        <f t="shared" si="2"/>
        <v>0</v>
      </c>
      <c r="V171" s="34">
        <f>SUBTOTAL(9,$K$3:$K171)</f>
        <v>0</v>
      </c>
      <c r="W171" s="35">
        <f>SUBTOTAL(9,$R$3:$R171)</f>
        <v>0</v>
      </c>
      <c r="X171" s="36">
        <f>SUBTOTAL(9,$S$3:$S171)</f>
        <v>0</v>
      </c>
      <c r="Y171" s="23">
        <f>SUBTOTAL(9,$L$3:$L171)</f>
        <v>0</v>
      </c>
      <c r="Z171" s="10">
        <f>SUBTOTAL(9,$M$3:$M171)</f>
        <v>0</v>
      </c>
    </row>
    <row r="172" spans="3:26" x14ac:dyDescent="0.25">
      <c r="C172" s="9" t="e">
        <f>LOOKUP($B172,Aircrafts!$A$2:$A$1048576,Aircrafts!$B$2:$B$1048576)</f>
        <v>#N/A</v>
      </c>
      <c r="D172" s="10" t="e">
        <f>LOOKUP($B172,Aircrafts!$A$2:$A$1048576,Aircrafts!$C$2:$C$1048576)</f>
        <v>#N/A</v>
      </c>
      <c r="F172" s="10" t="e">
        <f>LOOKUP($E172,Aerodromes!$A$2:$A$1048576,Aerodromes!$B$2:$B$1048576)</f>
        <v>#N/A</v>
      </c>
      <c r="H172" s="10" t="e">
        <f>LOOKUP($G172,Aerodromes!$A$2:$A$1048576,Aerodromes!$B$2:$B$1048576)</f>
        <v>#N/A</v>
      </c>
      <c r="K172" s="13">
        <f t="shared" si="2"/>
        <v>0</v>
      </c>
      <c r="V172" s="34">
        <f>SUBTOTAL(9,$K$3:$K172)</f>
        <v>0</v>
      </c>
      <c r="W172" s="35">
        <f>SUBTOTAL(9,$R$3:$R172)</f>
        <v>0</v>
      </c>
      <c r="X172" s="36">
        <f>SUBTOTAL(9,$S$3:$S172)</f>
        <v>0</v>
      </c>
      <c r="Y172" s="23">
        <f>SUBTOTAL(9,$L$3:$L172)</f>
        <v>0</v>
      </c>
      <c r="Z172" s="10">
        <f>SUBTOTAL(9,$M$3:$M172)</f>
        <v>0</v>
      </c>
    </row>
    <row r="173" spans="3:26" x14ac:dyDescent="0.25">
      <c r="C173" s="9" t="e">
        <f>LOOKUP($B173,Aircrafts!$A$2:$A$1048576,Aircrafts!$B$2:$B$1048576)</f>
        <v>#N/A</v>
      </c>
      <c r="D173" s="10" t="e">
        <f>LOOKUP($B173,Aircrafts!$A$2:$A$1048576,Aircrafts!$C$2:$C$1048576)</f>
        <v>#N/A</v>
      </c>
      <c r="F173" s="10" t="e">
        <f>LOOKUP($E173,Aerodromes!$A$2:$A$1048576,Aerodromes!$B$2:$B$1048576)</f>
        <v>#N/A</v>
      </c>
      <c r="H173" s="10" t="e">
        <f>LOOKUP($G173,Aerodromes!$A$2:$A$1048576,Aerodromes!$B$2:$B$1048576)</f>
        <v>#N/A</v>
      </c>
      <c r="K173" s="13">
        <f t="shared" si="2"/>
        <v>0</v>
      </c>
      <c r="V173" s="34">
        <f>SUBTOTAL(9,$K$3:$K173)</f>
        <v>0</v>
      </c>
      <c r="W173" s="35">
        <f>SUBTOTAL(9,$R$3:$R173)</f>
        <v>0</v>
      </c>
      <c r="X173" s="36">
        <f>SUBTOTAL(9,$S$3:$S173)</f>
        <v>0</v>
      </c>
      <c r="Y173" s="23">
        <f>SUBTOTAL(9,$L$3:$L173)</f>
        <v>0</v>
      </c>
      <c r="Z173" s="10">
        <f>SUBTOTAL(9,$M$3:$M173)</f>
        <v>0</v>
      </c>
    </row>
    <row r="174" spans="3:26" x14ac:dyDescent="0.25">
      <c r="C174" s="9" t="e">
        <f>LOOKUP($B174,Aircrafts!$A$2:$A$1048576,Aircrafts!$B$2:$B$1048576)</f>
        <v>#N/A</v>
      </c>
      <c r="D174" s="10" t="e">
        <f>LOOKUP($B174,Aircrafts!$A$2:$A$1048576,Aircrafts!$C$2:$C$1048576)</f>
        <v>#N/A</v>
      </c>
      <c r="F174" s="10" t="e">
        <f>LOOKUP($E174,Aerodromes!$A$2:$A$1048576,Aerodromes!$B$2:$B$1048576)</f>
        <v>#N/A</v>
      </c>
      <c r="H174" s="10" t="e">
        <f>LOOKUP($G174,Aerodromes!$A$2:$A$1048576,Aerodromes!$B$2:$B$1048576)</f>
        <v>#N/A</v>
      </c>
      <c r="K174" s="13">
        <f t="shared" si="2"/>
        <v>0</v>
      </c>
      <c r="V174" s="34">
        <f>SUBTOTAL(9,$K$3:$K174)</f>
        <v>0</v>
      </c>
      <c r="W174" s="35">
        <f>SUBTOTAL(9,$R$3:$R174)</f>
        <v>0</v>
      </c>
      <c r="X174" s="36">
        <f>SUBTOTAL(9,$S$3:$S174)</f>
        <v>0</v>
      </c>
      <c r="Y174" s="23">
        <f>SUBTOTAL(9,$L$3:$L174)</f>
        <v>0</v>
      </c>
      <c r="Z174" s="10">
        <f>SUBTOTAL(9,$M$3:$M174)</f>
        <v>0</v>
      </c>
    </row>
    <row r="175" spans="3:26" x14ac:dyDescent="0.25">
      <c r="C175" s="9" t="e">
        <f>LOOKUP($B175,Aircrafts!$A$2:$A$1048576,Aircrafts!$B$2:$B$1048576)</f>
        <v>#N/A</v>
      </c>
      <c r="D175" s="10" t="e">
        <f>LOOKUP($B175,Aircrafts!$A$2:$A$1048576,Aircrafts!$C$2:$C$1048576)</f>
        <v>#N/A</v>
      </c>
      <c r="F175" s="10" t="e">
        <f>LOOKUP($E175,Aerodromes!$A$2:$A$1048576,Aerodromes!$B$2:$B$1048576)</f>
        <v>#N/A</v>
      </c>
      <c r="H175" s="10" t="e">
        <f>LOOKUP($G175,Aerodromes!$A$2:$A$1048576,Aerodromes!$B$2:$B$1048576)</f>
        <v>#N/A</v>
      </c>
      <c r="K175" s="13">
        <f t="shared" si="2"/>
        <v>0</v>
      </c>
      <c r="V175" s="34">
        <f>SUBTOTAL(9,$K$3:$K175)</f>
        <v>0</v>
      </c>
      <c r="W175" s="35">
        <f>SUBTOTAL(9,$R$3:$R175)</f>
        <v>0</v>
      </c>
      <c r="X175" s="36">
        <f>SUBTOTAL(9,$S$3:$S175)</f>
        <v>0</v>
      </c>
      <c r="Y175" s="23">
        <f>SUBTOTAL(9,$L$3:$L175)</f>
        <v>0</v>
      </c>
      <c r="Z175" s="10">
        <f>SUBTOTAL(9,$M$3:$M175)</f>
        <v>0</v>
      </c>
    </row>
    <row r="176" spans="3:26" x14ac:dyDescent="0.25">
      <c r="C176" s="9" t="e">
        <f>LOOKUP($B176,Aircrafts!$A$2:$A$1048576,Aircrafts!$B$2:$B$1048576)</f>
        <v>#N/A</v>
      </c>
      <c r="D176" s="10" t="e">
        <f>LOOKUP($B176,Aircrafts!$A$2:$A$1048576,Aircrafts!$C$2:$C$1048576)</f>
        <v>#N/A</v>
      </c>
      <c r="F176" s="10" t="e">
        <f>LOOKUP($E176,Aerodromes!$A$2:$A$1048576,Aerodromes!$B$2:$B$1048576)</f>
        <v>#N/A</v>
      </c>
      <c r="H176" s="10" t="e">
        <f>LOOKUP($G176,Aerodromes!$A$2:$A$1048576,Aerodromes!$B$2:$B$1048576)</f>
        <v>#N/A</v>
      </c>
      <c r="K176" s="13">
        <f t="shared" si="2"/>
        <v>0</v>
      </c>
      <c r="V176" s="34">
        <f>SUBTOTAL(9,$K$3:$K176)</f>
        <v>0</v>
      </c>
      <c r="W176" s="35">
        <f>SUBTOTAL(9,$R$3:$R176)</f>
        <v>0</v>
      </c>
      <c r="X176" s="36">
        <f>SUBTOTAL(9,$S$3:$S176)</f>
        <v>0</v>
      </c>
      <c r="Y176" s="23">
        <f>SUBTOTAL(9,$L$3:$L176)</f>
        <v>0</v>
      </c>
      <c r="Z176" s="10">
        <f>SUBTOTAL(9,$M$3:$M176)</f>
        <v>0</v>
      </c>
    </row>
    <row r="177" spans="3:26" x14ac:dyDescent="0.25">
      <c r="C177" s="9" t="e">
        <f>LOOKUP($B177,Aircrafts!$A$2:$A$1048576,Aircrafts!$B$2:$B$1048576)</f>
        <v>#N/A</v>
      </c>
      <c r="D177" s="10" t="e">
        <f>LOOKUP($B177,Aircrafts!$A$2:$A$1048576,Aircrafts!$C$2:$C$1048576)</f>
        <v>#N/A</v>
      </c>
      <c r="F177" s="10" t="e">
        <f>LOOKUP($E177,Aerodromes!$A$2:$A$1048576,Aerodromes!$B$2:$B$1048576)</f>
        <v>#N/A</v>
      </c>
      <c r="H177" s="10" t="e">
        <f>LOOKUP($G177,Aerodromes!$A$2:$A$1048576,Aerodromes!$B$2:$B$1048576)</f>
        <v>#N/A</v>
      </c>
      <c r="K177" s="13">
        <f t="shared" si="2"/>
        <v>0</v>
      </c>
      <c r="V177" s="34">
        <f>SUBTOTAL(9,$K$3:$K177)</f>
        <v>0</v>
      </c>
      <c r="W177" s="35">
        <f>SUBTOTAL(9,$R$3:$R177)</f>
        <v>0</v>
      </c>
      <c r="X177" s="36">
        <f>SUBTOTAL(9,$S$3:$S177)</f>
        <v>0</v>
      </c>
      <c r="Y177" s="23">
        <f>SUBTOTAL(9,$L$3:$L177)</f>
        <v>0</v>
      </c>
      <c r="Z177" s="10">
        <f>SUBTOTAL(9,$M$3:$M177)</f>
        <v>0</v>
      </c>
    </row>
    <row r="178" spans="3:26" x14ac:dyDescent="0.25">
      <c r="C178" s="9" t="e">
        <f>LOOKUP($B178,Aircrafts!$A$2:$A$1048576,Aircrafts!$B$2:$B$1048576)</f>
        <v>#N/A</v>
      </c>
      <c r="D178" s="10" t="e">
        <f>LOOKUP($B178,Aircrafts!$A$2:$A$1048576,Aircrafts!$C$2:$C$1048576)</f>
        <v>#N/A</v>
      </c>
      <c r="F178" s="10" t="e">
        <f>LOOKUP($E178,Aerodromes!$A$2:$A$1048576,Aerodromes!$B$2:$B$1048576)</f>
        <v>#N/A</v>
      </c>
      <c r="H178" s="10" t="e">
        <f>LOOKUP($G178,Aerodromes!$A$2:$A$1048576,Aerodromes!$B$2:$B$1048576)</f>
        <v>#N/A</v>
      </c>
      <c r="K178" s="13">
        <f t="shared" si="2"/>
        <v>0</v>
      </c>
      <c r="V178" s="34">
        <f>SUBTOTAL(9,$K$3:$K178)</f>
        <v>0</v>
      </c>
      <c r="W178" s="35">
        <f>SUBTOTAL(9,$R$3:$R178)</f>
        <v>0</v>
      </c>
      <c r="X178" s="36">
        <f>SUBTOTAL(9,$S$3:$S178)</f>
        <v>0</v>
      </c>
      <c r="Y178" s="23">
        <f>SUBTOTAL(9,$L$3:$L178)</f>
        <v>0</v>
      </c>
      <c r="Z178" s="10">
        <f>SUBTOTAL(9,$M$3:$M178)</f>
        <v>0</v>
      </c>
    </row>
    <row r="179" spans="3:26" x14ac:dyDescent="0.25">
      <c r="C179" s="9" t="e">
        <f>LOOKUP($B179,Aircrafts!$A$2:$A$1048576,Aircrafts!$B$2:$B$1048576)</f>
        <v>#N/A</v>
      </c>
      <c r="D179" s="10" t="e">
        <f>LOOKUP($B179,Aircrafts!$A$2:$A$1048576,Aircrafts!$C$2:$C$1048576)</f>
        <v>#N/A</v>
      </c>
      <c r="F179" s="10" t="e">
        <f>LOOKUP($E179,Aerodromes!$A$2:$A$1048576,Aerodromes!$B$2:$B$1048576)</f>
        <v>#N/A</v>
      </c>
      <c r="H179" s="10" t="e">
        <f>LOOKUP($G179,Aerodromes!$A$2:$A$1048576,Aerodromes!$B$2:$B$1048576)</f>
        <v>#N/A</v>
      </c>
      <c r="K179" s="13">
        <f t="shared" si="2"/>
        <v>0</v>
      </c>
      <c r="V179" s="34">
        <f>SUBTOTAL(9,$K$3:$K179)</f>
        <v>0</v>
      </c>
      <c r="W179" s="35">
        <f>SUBTOTAL(9,$R$3:$R179)</f>
        <v>0</v>
      </c>
      <c r="X179" s="36">
        <f>SUBTOTAL(9,$S$3:$S179)</f>
        <v>0</v>
      </c>
      <c r="Y179" s="23">
        <f>SUBTOTAL(9,$L$3:$L179)</f>
        <v>0</v>
      </c>
      <c r="Z179" s="10">
        <f>SUBTOTAL(9,$M$3:$M179)</f>
        <v>0</v>
      </c>
    </row>
    <row r="180" spans="3:26" x14ac:dyDescent="0.25">
      <c r="C180" s="9" t="e">
        <f>LOOKUP($B180,Aircrafts!$A$2:$A$1048576,Aircrafts!$B$2:$B$1048576)</f>
        <v>#N/A</v>
      </c>
      <c r="D180" s="10" t="e">
        <f>LOOKUP($B180,Aircrafts!$A$2:$A$1048576,Aircrafts!$C$2:$C$1048576)</f>
        <v>#N/A</v>
      </c>
      <c r="F180" s="10" t="e">
        <f>LOOKUP($E180,Aerodromes!$A$2:$A$1048576,Aerodromes!$B$2:$B$1048576)</f>
        <v>#N/A</v>
      </c>
      <c r="H180" s="10" t="e">
        <f>LOOKUP($G180,Aerodromes!$A$2:$A$1048576,Aerodromes!$B$2:$B$1048576)</f>
        <v>#N/A</v>
      </c>
      <c r="K180" s="13">
        <f t="shared" si="2"/>
        <v>0</v>
      </c>
      <c r="V180" s="34">
        <f>SUBTOTAL(9,$K$3:$K180)</f>
        <v>0</v>
      </c>
      <c r="W180" s="35">
        <f>SUBTOTAL(9,$R$3:$R180)</f>
        <v>0</v>
      </c>
      <c r="X180" s="36">
        <f>SUBTOTAL(9,$S$3:$S180)</f>
        <v>0</v>
      </c>
      <c r="Y180" s="23">
        <f>SUBTOTAL(9,$L$3:$L180)</f>
        <v>0</v>
      </c>
      <c r="Z180" s="10">
        <f>SUBTOTAL(9,$M$3:$M180)</f>
        <v>0</v>
      </c>
    </row>
    <row r="181" spans="3:26" x14ac:dyDescent="0.25">
      <c r="C181" s="9" t="e">
        <f>LOOKUP($B181,Aircrafts!$A$2:$A$1048576,Aircrafts!$B$2:$B$1048576)</f>
        <v>#N/A</v>
      </c>
      <c r="D181" s="10" t="e">
        <f>LOOKUP($B181,Aircrafts!$A$2:$A$1048576,Aircrafts!$C$2:$C$1048576)</f>
        <v>#N/A</v>
      </c>
      <c r="F181" s="10" t="e">
        <f>LOOKUP($E181,Aerodromes!$A$2:$A$1048576,Aerodromes!$B$2:$B$1048576)</f>
        <v>#N/A</v>
      </c>
      <c r="H181" s="10" t="e">
        <f>LOOKUP($G181,Aerodromes!$A$2:$A$1048576,Aerodromes!$B$2:$B$1048576)</f>
        <v>#N/A</v>
      </c>
      <c r="K181" s="13">
        <f t="shared" si="2"/>
        <v>0</v>
      </c>
      <c r="V181" s="34">
        <f>SUBTOTAL(9,$K$3:$K181)</f>
        <v>0</v>
      </c>
      <c r="W181" s="35">
        <f>SUBTOTAL(9,$R$3:$R181)</f>
        <v>0</v>
      </c>
      <c r="X181" s="36">
        <f>SUBTOTAL(9,$S$3:$S181)</f>
        <v>0</v>
      </c>
      <c r="Y181" s="23">
        <f>SUBTOTAL(9,$L$3:$L181)</f>
        <v>0</v>
      </c>
      <c r="Z181" s="10">
        <f>SUBTOTAL(9,$M$3:$M181)</f>
        <v>0</v>
      </c>
    </row>
    <row r="182" spans="3:26" x14ac:dyDescent="0.25">
      <c r="C182" s="9" t="e">
        <f>LOOKUP($B182,Aircrafts!$A$2:$A$1048576,Aircrafts!$B$2:$B$1048576)</f>
        <v>#N/A</v>
      </c>
      <c r="D182" s="10" t="e">
        <f>LOOKUP($B182,Aircrafts!$A$2:$A$1048576,Aircrafts!$C$2:$C$1048576)</f>
        <v>#N/A</v>
      </c>
      <c r="F182" s="10" t="e">
        <f>LOOKUP($E182,Aerodromes!$A$2:$A$1048576,Aerodromes!$B$2:$B$1048576)</f>
        <v>#N/A</v>
      </c>
      <c r="H182" s="10" t="e">
        <f>LOOKUP($G182,Aerodromes!$A$2:$A$1048576,Aerodromes!$B$2:$B$1048576)</f>
        <v>#N/A</v>
      </c>
      <c r="K182" s="13">
        <f t="shared" si="2"/>
        <v>0</v>
      </c>
      <c r="V182" s="34">
        <f>SUBTOTAL(9,$K$3:$K182)</f>
        <v>0</v>
      </c>
      <c r="W182" s="35">
        <f>SUBTOTAL(9,$R$3:$R182)</f>
        <v>0</v>
      </c>
      <c r="X182" s="36">
        <f>SUBTOTAL(9,$S$3:$S182)</f>
        <v>0</v>
      </c>
      <c r="Y182" s="23">
        <f>SUBTOTAL(9,$L$3:$L182)</f>
        <v>0</v>
      </c>
      <c r="Z182" s="10">
        <f>SUBTOTAL(9,$M$3:$M182)</f>
        <v>0</v>
      </c>
    </row>
    <row r="183" spans="3:26" x14ac:dyDescent="0.25">
      <c r="C183" s="9" t="e">
        <f>LOOKUP($B183,Aircrafts!$A$2:$A$1048576,Aircrafts!$B$2:$B$1048576)</f>
        <v>#N/A</v>
      </c>
      <c r="D183" s="10" t="e">
        <f>LOOKUP($B183,Aircrafts!$A$2:$A$1048576,Aircrafts!$C$2:$C$1048576)</f>
        <v>#N/A</v>
      </c>
      <c r="F183" s="10" t="e">
        <f>LOOKUP($E183,Aerodromes!$A$2:$A$1048576,Aerodromes!$B$2:$B$1048576)</f>
        <v>#N/A</v>
      </c>
      <c r="H183" s="10" t="e">
        <f>LOOKUP($G183,Aerodromes!$A$2:$A$1048576,Aerodromes!$B$2:$B$1048576)</f>
        <v>#N/A</v>
      </c>
      <c r="K183" s="13">
        <f t="shared" si="2"/>
        <v>0</v>
      </c>
      <c r="V183" s="34">
        <f>SUBTOTAL(9,$K$3:$K183)</f>
        <v>0</v>
      </c>
      <c r="W183" s="35">
        <f>SUBTOTAL(9,$R$3:$R183)</f>
        <v>0</v>
      </c>
      <c r="X183" s="36">
        <f>SUBTOTAL(9,$S$3:$S183)</f>
        <v>0</v>
      </c>
      <c r="Y183" s="23">
        <f>SUBTOTAL(9,$L$3:$L183)</f>
        <v>0</v>
      </c>
      <c r="Z183" s="10">
        <f>SUBTOTAL(9,$M$3:$M183)</f>
        <v>0</v>
      </c>
    </row>
    <row r="184" spans="3:26" x14ac:dyDescent="0.25">
      <c r="C184" s="9" t="e">
        <f>LOOKUP($B184,Aircrafts!$A$2:$A$1048576,Aircrafts!$B$2:$B$1048576)</f>
        <v>#N/A</v>
      </c>
      <c r="D184" s="10" t="e">
        <f>LOOKUP($B184,Aircrafts!$A$2:$A$1048576,Aircrafts!$C$2:$C$1048576)</f>
        <v>#N/A</v>
      </c>
      <c r="F184" s="10" t="e">
        <f>LOOKUP($E184,Aerodromes!$A$2:$A$1048576,Aerodromes!$B$2:$B$1048576)</f>
        <v>#N/A</v>
      </c>
      <c r="H184" s="10" t="e">
        <f>LOOKUP($G184,Aerodromes!$A$2:$A$1048576,Aerodromes!$B$2:$B$1048576)</f>
        <v>#N/A</v>
      </c>
      <c r="K184" s="13">
        <f t="shared" si="2"/>
        <v>0</v>
      </c>
      <c r="V184" s="34">
        <f>SUBTOTAL(9,$K$3:$K184)</f>
        <v>0</v>
      </c>
      <c r="W184" s="35">
        <f>SUBTOTAL(9,$R$3:$R184)</f>
        <v>0</v>
      </c>
      <c r="X184" s="36">
        <f>SUBTOTAL(9,$S$3:$S184)</f>
        <v>0</v>
      </c>
      <c r="Y184" s="23">
        <f>SUBTOTAL(9,$L$3:$L184)</f>
        <v>0</v>
      </c>
      <c r="Z184" s="10">
        <f>SUBTOTAL(9,$M$3:$M184)</f>
        <v>0</v>
      </c>
    </row>
    <row r="185" spans="3:26" x14ac:dyDescent="0.25">
      <c r="C185" s="9" t="e">
        <f>LOOKUP($B185,Aircrafts!$A$2:$A$1048576,Aircrafts!$B$2:$B$1048576)</f>
        <v>#N/A</v>
      </c>
      <c r="D185" s="10" t="e">
        <f>LOOKUP($B185,Aircrafts!$A$2:$A$1048576,Aircrafts!$C$2:$C$1048576)</f>
        <v>#N/A</v>
      </c>
      <c r="F185" s="10" t="e">
        <f>LOOKUP($E185,Aerodromes!$A$2:$A$1048576,Aerodromes!$B$2:$B$1048576)</f>
        <v>#N/A</v>
      </c>
      <c r="H185" s="10" t="e">
        <f>LOOKUP($G185,Aerodromes!$A$2:$A$1048576,Aerodromes!$B$2:$B$1048576)</f>
        <v>#N/A</v>
      </c>
      <c r="K185" s="13">
        <f t="shared" si="2"/>
        <v>0</v>
      </c>
      <c r="V185" s="34">
        <f>SUBTOTAL(9,$K$3:$K185)</f>
        <v>0</v>
      </c>
      <c r="W185" s="35">
        <f>SUBTOTAL(9,$R$3:$R185)</f>
        <v>0</v>
      </c>
      <c r="X185" s="36">
        <f>SUBTOTAL(9,$S$3:$S185)</f>
        <v>0</v>
      </c>
      <c r="Y185" s="23">
        <f>SUBTOTAL(9,$L$3:$L185)</f>
        <v>0</v>
      </c>
      <c r="Z185" s="10">
        <f>SUBTOTAL(9,$M$3:$M185)</f>
        <v>0</v>
      </c>
    </row>
    <row r="186" spans="3:26" x14ac:dyDescent="0.25">
      <c r="C186" s="9" t="e">
        <f>LOOKUP($B186,Aircrafts!$A$2:$A$1048576,Aircrafts!$B$2:$B$1048576)</f>
        <v>#N/A</v>
      </c>
      <c r="D186" s="10" t="e">
        <f>LOOKUP($B186,Aircrafts!$A$2:$A$1048576,Aircrafts!$C$2:$C$1048576)</f>
        <v>#N/A</v>
      </c>
      <c r="F186" s="10" t="e">
        <f>LOOKUP($E186,Aerodromes!$A$2:$A$1048576,Aerodromes!$B$2:$B$1048576)</f>
        <v>#N/A</v>
      </c>
      <c r="H186" s="10" t="e">
        <f>LOOKUP($G186,Aerodromes!$A$2:$A$1048576,Aerodromes!$B$2:$B$1048576)</f>
        <v>#N/A</v>
      </c>
      <c r="K186" s="13">
        <f t="shared" si="2"/>
        <v>0</v>
      </c>
      <c r="V186" s="34">
        <f>SUBTOTAL(9,$K$3:$K186)</f>
        <v>0</v>
      </c>
      <c r="W186" s="35">
        <f>SUBTOTAL(9,$R$3:$R186)</f>
        <v>0</v>
      </c>
      <c r="X186" s="36">
        <f>SUBTOTAL(9,$S$3:$S186)</f>
        <v>0</v>
      </c>
      <c r="Y186" s="23">
        <f>SUBTOTAL(9,$L$3:$L186)</f>
        <v>0</v>
      </c>
      <c r="Z186" s="10">
        <f>SUBTOTAL(9,$M$3:$M186)</f>
        <v>0</v>
      </c>
    </row>
    <row r="187" spans="3:26" x14ac:dyDescent="0.25">
      <c r="C187" s="9" t="e">
        <f>LOOKUP($B187,Aircrafts!$A$2:$A$1048576,Aircrafts!$B$2:$B$1048576)</f>
        <v>#N/A</v>
      </c>
      <c r="D187" s="10" t="e">
        <f>LOOKUP($B187,Aircrafts!$A$2:$A$1048576,Aircrafts!$C$2:$C$1048576)</f>
        <v>#N/A</v>
      </c>
      <c r="F187" s="10" t="e">
        <f>LOOKUP($E187,Aerodromes!$A$2:$A$1048576,Aerodromes!$B$2:$B$1048576)</f>
        <v>#N/A</v>
      </c>
      <c r="H187" s="10" t="e">
        <f>LOOKUP($G187,Aerodromes!$A$2:$A$1048576,Aerodromes!$B$2:$B$1048576)</f>
        <v>#N/A</v>
      </c>
      <c r="K187" s="13">
        <f t="shared" si="2"/>
        <v>0</v>
      </c>
      <c r="V187" s="34">
        <f>SUBTOTAL(9,$K$3:$K187)</f>
        <v>0</v>
      </c>
      <c r="W187" s="35">
        <f>SUBTOTAL(9,$R$3:$R187)</f>
        <v>0</v>
      </c>
      <c r="X187" s="36">
        <f>SUBTOTAL(9,$S$3:$S187)</f>
        <v>0</v>
      </c>
      <c r="Y187" s="23">
        <f>SUBTOTAL(9,$L$3:$L187)</f>
        <v>0</v>
      </c>
      <c r="Z187" s="10">
        <f>SUBTOTAL(9,$M$3:$M187)</f>
        <v>0</v>
      </c>
    </row>
    <row r="188" spans="3:26" x14ac:dyDescent="0.25">
      <c r="C188" s="9" t="e">
        <f>LOOKUP($B188,Aircrafts!$A$2:$A$1048576,Aircrafts!$B$2:$B$1048576)</f>
        <v>#N/A</v>
      </c>
      <c r="D188" s="10" t="e">
        <f>LOOKUP($B188,Aircrafts!$A$2:$A$1048576,Aircrafts!$C$2:$C$1048576)</f>
        <v>#N/A</v>
      </c>
      <c r="F188" s="10" t="e">
        <f>LOOKUP($E188,Aerodromes!$A$2:$A$1048576,Aerodromes!$B$2:$B$1048576)</f>
        <v>#N/A</v>
      </c>
      <c r="H188" s="10" t="e">
        <f>LOOKUP($G188,Aerodromes!$A$2:$A$1048576,Aerodromes!$B$2:$B$1048576)</f>
        <v>#N/A</v>
      </c>
      <c r="K188" s="13">
        <f t="shared" si="2"/>
        <v>0</v>
      </c>
      <c r="V188" s="34">
        <f>SUBTOTAL(9,$K$3:$K188)</f>
        <v>0</v>
      </c>
      <c r="W188" s="35">
        <f>SUBTOTAL(9,$R$3:$R188)</f>
        <v>0</v>
      </c>
      <c r="X188" s="36">
        <f>SUBTOTAL(9,$S$3:$S188)</f>
        <v>0</v>
      </c>
      <c r="Y188" s="23">
        <f>SUBTOTAL(9,$L$3:$L188)</f>
        <v>0</v>
      </c>
      <c r="Z188" s="10">
        <f>SUBTOTAL(9,$M$3:$M188)</f>
        <v>0</v>
      </c>
    </row>
    <row r="189" spans="3:26" x14ac:dyDescent="0.25">
      <c r="C189" s="9" t="e">
        <f>LOOKUP($B189,Aircrafts!$A$2:$A$1048576,Aircrafts!$B$2:$B$1048576)</f>
        <v>#N/A</v>
      </c>
      <c r="D189" s="10" t="e">
        <f>LOOKUP($B189,Aircrafts!$A$2:$A$1048576,Aircrafts!$C$2:$C$1048576)</f>
        <v>#N/A</v>
      </c>
      <c r="F189" s="10" t="e">
        <f>LOOKUP($E189,Aerodromes!$A$2:$A$1048576,Aerodromes!$B$2:$B$1048576)</f>
        <v>#N/A</v>
      </c>
      <c r="H189" s="10" t="e">
        <f>LOOKUP($G189,Aerodromes!$A$2:$A$1048576,Aerodromes!$B$2:$B$1048576)</f>
        <v>#N/A</v>
      </c>
      <c r="K189" s="13">
        <f t="shared" si="2"/>
        <v>0</v>
      </c>
      <c r="V189" s="34">
        <f>SUBTOTAL(9,$K$3:$K189)</f>
        <v>0</v>
      </c>
      <c r="W189" s="35">
        <f>SUBTOTAL(9,$R$3:$R189)</f>
        <v>0</v>
      </c>
      <c r="X189" s="36">
        <f>SUBTOTAL(9,$S$3:$S189)</f>
        <v>0</v>
      </c>
      <c r="Y189" s="23">
        <f>SUBTOTAL(9,$L$3:$L189)</f>
        <v>0</v>
      </c>
      <c r="Z189" s="10">
        <f>SUBTOTAL(9,$M$3:$M189)</f>
        <v>0</v>
      </c>
    </row>
    <row r="190" spans="3:26" x14ac:dyDescent="0.25">
      <c r="C190" s="9" t="e">
        <f>LOOKUP($B190,Aircrafts!$A$2:$A$1048576,Aircrafts!$B$2:$B$1048576)</f>
        <v>#N/A</v>
      </c>
      <c r="D190" s="10" t="e">
        <f>LOOKUP($B190,Aircrafts!$A$2:$A$1048576,Aircrafts!$C$2:$C$1048576)</f>
        <v>#N/A</v>
      </c>
      <c r="F190" s="10" t="e">
        <f>LOOKUP($E190,Aerodromes!$A$2:$A$1048576,Aerodromes!$B$2:$B$1048576)</f>
        <v>#N/A</v>
      </c>
      <c r="H190" s="10" t="e">
        <f>LOOKUP($G190,Aerodromes!$A$2:$A$1048576,Aerodromes!$B$2:$B$1048576)</f>
        <v>#N/A</v>
      </c>
      <c r="K190" s="13">
        <f t="shared" si="2"/>
        <v>0</v>
      </c>
      <c r="V190" s="34">
        <f>SUBTOTAL(9,$K$3:$K190)</f>
        <v>0</v>
      </c>
      <c r="W190" s="35">
        <f>SUBTOTAL(9,$R$3:$R190)</f>
        <v>0</v>
      </c>
      <c r="X190" s="36">
        <f>SUBTOTAL(9,$S$3:$S190)</f>
        <v>0</v>
      </c>
      <c r="Y190" s="23">
        <f>SUBTOTAL(9,$L$3:$L190)</f>
        <v>0</v>
      </c>
      <c r="Z190" s="10">
        <f>SUBTOTAL(9,$M$3:$M190)</f>
        <v>0</v>
      </c>
    </row>
    <row r="191" spans="3:26" x14ac:dyDescent="0.25">
      <c r="C191" s="9" t="e">
        <f>LOOKUP($B191,Aircrafts!$A$2:$A$1048576,Aircrafts!$B$2:$B$1048576)</f>
        <v>#N/A</v>
      </c>
      <c r="D191" s="10" t="e">
        <f>LOOKUP($B191,Aircrafts!$A$2:$A$1048576,Aircrafts!$C$2:$C$1048576)</f>
        <v>#N/A</v>
      </c>
      <c r="F191" s="10" t="e">
        <f>LOOKUP($E191,Aerodromes!$A$2:$A$1048576,Aerodromes!$B$2:$B$1048576)</f>
        <v>#N/A</v>
      </c>
      <c r="H191" s="10" t="e">
        <f>LOOKUP($G191,Aerodromes!$A$2:$A$1048576,Aerodromes!$B$2:$B$1048576)</f>
        <v>#N/A</v>
      </c>
      <c r="K191" s="13">
        <f t="shared" si="2"/>
        <v>0</v>
      </c>
      <c r="V191" s="34">
        <f>SUBTOTAL(9,$K$3:$K191)</f>
        <v>0</v>
      </c>
      <c r="W191" s="35">
        <f>SUBTOTAL(9,$R$3:$R191)</f>
        <v>0</v>
      </c>
      <c r="X191" s="36">
        <f>SUBTOTAL(9,$S$3:$S191)</f>
        <v>0</v>
      </c>
      <c r="Y191" s="23">
        <f>SUBTOTAL(9,$L$3:$L191)</f>
        <v>0</v>
      </c>
      <c r="Z191" s="10">
        <f>SUBTOTAL(9,$M$3:$M191)</f>
        <v>0</v>
      </c>
    </row>
    <row r="192" spans="3:26" x14ac:dyDescent="0.25">
      <c r="C192" s="9" t="e">
        <f>LOOKUP($B192,Aircrafts!$A$2:$A$1048576,Aircrafts!$B$2:$B$1048576)</f>
        <v>#N/A</v>
      </c>
      <c r="D192" s="10" t="e">
        <f>LOOKUP($B192,Aircrafts!$A$2:$A$1048576,Aircrafts!$C$2:$C$1048576)</f>
        <v>#N/A</v>
      </c>
      <c r="F192" s="10" t="e">
        <f>LOOKUP($E192,Aerodromes!$A$2:$A$1048576,Aerodromes!$B$2:$B$1048576)</f>
        <v>#N/A</v>
      </c>
      <c r="H192" s="10" t="e">
        <f>LOOKUP($G192,Aerodromes!$A$2:$A$1048576,Aerodromes!$B$2:$B$1048576)</f>
        <v>#N/A</v>
      </c>
      <c r="K192" s="13">
        <f t="shared" si="2"/>
        <v>0</v>
      </c>
      <c r="V192" s="34">
        <f>SUBTOTAL(9,$K$3:$K192)</f>
        <v>0</v>
      </c>
      <c r="W192" s="35">
        <f>SUBTOTAL(9,$R$3:$R192)</f>
        <v>0</v>
      </c>
      <c r="X192" s="36">
        <f>SUBTOTAL(9,$S$3:$S192)</f>
        <v>0</v>
      </c>
      <c r="Y192" s="23">
        <f>SUBTOTAL(9,$L$3:$L192)</f>
        <v>0</v>
      </c>
      <c r="Z192" s="10">
        <f>SUBTOTAL(9,$M$3:$M192)</f>
        <v>0</v>
      </c>
    </row>
    <row r="193" spans="3:26" x14ac:dyDescent="0.25">
      <c r="C193" s="9" t="e">
        <f>LOOKUP($B193,Aircrafts!$A$2:$A$1048576,Aircrafts!$B$2:$B$1048576)</f>
        <v>#N/A</v>
      </c>
      <c r="D193" s="10" t="e">
        <f>LOOKUP($B193,Aircrafts!$A$2:$A$1048576,Aircrafts!$C$2:$C$1048576)</f>
        <v>#N/A</v>
      </c>
      <c r="F193" s="10" t="e">
        <f>LOOKUP($E193,Aerodromes!$A$2:$A$1048576,Aerodromes!$B$2:$B$1048576)</f>
        <v>#N/A</v>
      </c>
      <c r="H193" s="10" t="e">
        <f>LOOKUP($G193,Aerodromes!$A$2:$A$1048576,Aerodromes!$B$2:$B$1048576)</f>
        <v>#N/A</v>
      </c>
      <c r="K193" s="13">
        <f t="shared" si="2"/>
        <v>0</v>
      </c>
      <c r="V193" s="34">
        <f>SUBTOTAL(9,$K$3:$K193)</f>
        <v>0</v>
      </c>
      <c r="W193" s="35">
        <f>SUBTOTAL(9,$R$3:$R193)</f>
        <v>0</v>
      </c>
      <c r="X193" s="36">
        <f>SUBTOTAL(9,$S$3:$S193)</f>
        <v>0</v>
      </c>
      <c r="Y193" s="23">
        <f>SUBTOTAL(9,$L$3:$L193)</f>
        <v>0</v>
      </c>
      <c r="Z193" s="10">
        <f>SUBTOTAL(9,$M$3:$M193)</f>
        <v>0</v>
      </c>
    </row>
    <row r="194" spans="3:26" x14ac:dyDescent="0.25">
      <c r="C194" s="9" t="e">
        <f>LOOKUP($B194,Aircrafts!$A$2:$A$1048576,Aircrafts!$B$2:$B$1048576)</f>
        <v>#N/A</v>
      </c>
      <c r="D194" s="10" t="e">
        <f>LOOKUP($B194,Aircrafts!$A$2:$A$1048576,Aircrafts!$C$2:$C$1048576)</f>
        <v>#N/A</v>
      </c>
      <c r="F194" s="10" t="e">
        <f>LOOKUP($E194,Aerodromes!$A$2:$A$1048576,Aerodromes!$B$2:$B$1048576)</f>
        <v>#N/A</v>
      </c>
      <c r="H194" s="10" t="e">
        <f>LOOKUP($G194,Aerodromes!$A$2:$A$1048576,Aerodromes!$B$2:$B$1048576)</f>
        <v>#N/A</v>
      </c>
      <c r="K194" s="13">
        <f t="shared" si="2"/>
        <v>0</v>
      </c>
      <c r="V194" s="34">
        <f>SUBTOTAL(9,$K$3:$K194)</f>
        <v>0</v>
      </c>
      <c r="W194" s="35">
        <f>SUBTOTAL(9,$R$3:$R194)</f>
        <v>0</v>
      </c>
      <c r="X194" s="36">
        <f>SUBTOTAL(9,$S$3:$S194)</f>
        <v>0</v>
      </c>
      <c r="Y194" s="23">
        <f>SUBTOTAL(9,$L$3:$L194)</f>
        <v>0</v>
      </c>
      <c r="Z194" s="10">
        <f>SUBTOTAL(9,$M$3:$M194)</f>
        <v>0</v>
      </c>
    </row>
    <row r="195" spans="3:26" x14ac:dyDescent="0.25">
      <c r="C195" s="9" t="e">
        <f>LOOKUP($B195,Aircrafts!$A$2:$A$1048576,Aircrafts!$B$2:$B$1048576)</f>
        <v>#N/A</v>
      </c>
      <c r="D195" s="10" t="e">
        <f>LOOKUP($B195,Aircrafts!$A$2:$A$1048576,Aircrafts!$C$2:$C$1048576)</f>
        <v>#N/A</v>
      </c>
      <c r="F195" s="10" t="e">
        <f>LOOKUP($E195,Aerodromes!$A$2:$A$1048576,Aerodromes!$B$2:$B$1048576)</f>
        <v>#N/A</v>
      </c>
      <c r="H195" s="10" t="e">
        <f>LOOKUP($G195,Aerodromes!$A$2:$A$1048576,Aerodromes!$B$2:$B$1048576)</f>
        <v>#N/A</v>
      </c>
      <c r="K195" s="13">
        <f t="shared" ref="K195:K258" si="3">IF($J195&gt;=$I195,$J195-$I195,1+$J195-$I195)</f>
        <v>0</v>
      </c>
      <c r="V195" s="34">
        <f>SUBTOTAL(9,$K$3:$K195)</f>
        <v>0</v>
      </c>
      <c r="W195" s="35">
        <f>SUBTOTAL(9,$R$3:$R195)</f>
        <v>0</v>
      </c>
      <c r="X195" s="36">
        <f>SUBTOTAL(9,$S$3:$S195)</f>
        <v>0</v>
      </c>
      <c r="Y195" s="23">
        <f>SUBTOTAL(9,$L$3:$L195)</f>
        <v>0</v>
      </c>
      <c r="Z195" s="10">
        <f>SUBTOTAL(9,$M$3:$M195)</f>
        <v>0</v>
      </c>
    </row>
    <row r="196" spans="3:26" x14ac:dyDescent="0.25">
      <c r="C196" s="9" t="e">
        <f>LOOKUP($B196,Aircrafts!$A$2:$A$1048576,Aircrafts!$B$2:$B$1048576)</f>
        <v>#N/A</v>
      </c>
      <c r="D196" s="10" t="e">
        <f>LOOKUP($B196,Aircrafts!$A$2:$A$1048576,Aircrafts!$C$2:$C$1048576)</f>
        <v>#N/A</v>
      </c>
      <c r="F196" s="10" t="e">
        <f>LOOKUP($E196,Aerodromes!$A$2:$A$1048576,Aerodromes!$B$2:$B$1048576)</f>
        <v>#N/A</v>
      </c>
      <c r="H196" s="10" t="e">
        <f>LOOKUP($G196,Aerodromes!$A$2:$A$1048576,Aerodromes!$B$2:$B$1048576)</f>
        <v>#N/A</v>
      </c>
      <c r="K196" s="13">
        <f t="shared" si="3"/>
        <v>0</v>
      </c>
      <c r="V196" s="34">
        <f>SUBTOTAL(9,$K$3:$K196)</f>
        <v>0</v>
      </c>
      <c r="W196" s="35">
        <f>SUBTOTAL(9,$R$3:$R196)</f>
        <v>0</v>
      </c>
      <c r="X196" s="36">
        <f>SUBTOTAL(9,$S$3:$S196)</f>
        <v>0</v>
      </c>
      <c r="Y196" s="23">
        <f>SUBTOTAL(9,$L$3:$L196)</f>
        <v>0</v>
      </c>
      <c r="Z196" s="10">
        <f>SUBTOTAL(9,$M$3:$M196)</f>
        <v>0</v>
      </c>
    </row>
    <row r="197" spans="3:26" x14ac:dyDescent="0.25">
      <c r="C197" s="9" t="e">
        <f>LOOKUP($B197,Aircrafts!$A$2:$A$1048576,Aircrafts!$B$2:$B$1048576)</f>
        <v>#N/A</v>
      </c>
      <c r="D197" s="10" t="e">
        <f>LOOKUP($B197,Aircrafts!$A$2:$A$1048576,Aircrafts!$C$2:$C$1048576)</f>
        <v>#N/A</v>
      </c>
      <c r="F197" s="10" t="e">
        <f>LOOKUP($E197,Aerodromes!$A$2:$A$1048576,Aerodromes!$B$2:$B$1048576)</f>
        <v>#N/A</v>
      </c>
      <c r="H197" s="10" t="e">
        <f>LOOKUP($G197,Aerodromes!$A$2:$A$1048576,Aerodromes!$B$2:$B$1048576)</f>
        <v>#N/A</v>
      </c>
      <c r="K197" s="13">
        <f t="shared" si="3"/>
        <v>0</v>
      </c>
      <c r="V197" s="34">
        <f>SUBTOTAL(9,$K$3:$K197)</f>
        <v>0</v>
      </c>
      <c r="W197" s="35">
        <f>SUBTOTAL(9,$R$3:$R197)</f>
        <v>0</v>
      </c>
      <c r="X197" s="36">
        <f>SUBTOTAL(9,$S$3:$S197)</f>
        <v>0</v>
      </c>
      <c r="Y197" s="23">
        <f>SUBTOTAL(9,$L$3:$L197)</f>
        <v>0</v>
      </c>
      <c r="Z197" s="10">
        <f>SUBTOTAL(9,$M$3:$M197)</f>
        <v>0</v>
      </c>
    </row>
    <row r="198" spans="3:26" x14ac:dyDescent="0.25">
      <c r="C198" s="9" t="e">
        <f>LOOKUP($B198,Aircrafts!$A$2:$A$1048576,Aircrafts!$B$2:$B$1048576)</f>
        <v>#N/A</v>
      </c>
      <c r="D198" s="10" t="e">
        <f>LOOKUP($B198,Aircrafts!$A$2:$A$1048576,Aircrafts!$C$2:$C$1048576)</f>
        <v>#N/A</v>
      </c>
      <c r="F198" s="10" t="e">
        <f>LOOKUP($E198,Aerodromes!$A$2:$A$1048576,Aerodromes!$B$2:$B$1048576)</f>
        <v>#N/A</v>
      </c>
      <c r="H198" s="10" t="e">
        <f>LOOKUP($G198,Aerodromes!$A$2:$A$1048576,Aerodromes!$B$2:$B$1048576)</f>
        <v>#N/A</v>
      </c>
      <c r="K198" s="13">
        <f t="shared" si="3"/>
        <v>0</v>
      </c>
      <c r="V198" s="34">
        <f>SUBTOTAL(9,$K$3:$K198)</f>
        <v>0</v>
      </c>
      <c r="W198" s="35">
        <f>SUBTOTAL(9,$R$3:$R198)</f>
        <v>0</v>
      </c>
      <c r="X198" s="36">
        <f>SUBTOTAL(9,$S$3:$S198)</f>
        <v>0</v>
      </c>
      <c r="Y198" s="23">
        <f>SUBTOTAL(9,$L$3:$L198)</f>
        <v>0</v>
      </c>
      <c r="Z198" s="10">
        <f>SUBTOTAL(9,$M$3:$M198)</f>
        <v>0</v>
      </c>
    </row>
    <row r="199" spans="3:26" x14ac:dyDescent="0.25">
      <c r="C199" s="9" t="e">
        <f>LOOKUP($B199,Aircrafts!$A$2:$A$1048576,Aircrafts!$B$2:$B$1048576)</f>
        <v>#N/A</v>
      </c>
      <c r="D199" s="10" t="e">
        <f>LOOKUP($B199,Aircrafts!$A$2:$A$1048576,Aircrafts!$C$2:$C$1048576)</f>
        <v>#N/A</v>
      </c>
      <c r="F199" s="10" t="e">
        <f>LOOKUP($E199,Aerodromes!$A$2:$A$1048576,Aerodromes!$B$2:$B$1048576)</f>
        <v>#N/A</v>
      </c>
      <c r="H199" s="10" t="e">
        <f>LOOKUP($G199,Aerodromes!$A$2:$A$1048576,Aerodromes!$B$2:$B$1048576)</f>
        <v>#N/A</v>
      </c>
      <c r="K199" s="13">
        <f t="shared" si="3"/>
        <v>0</v>
      </c>
      <c r="V199" s="34">
        <f>SUBTOTAL(9,$K$3:$K199)</f>
        <v>0</v>
      </c>
      <c r="W199" s="35">
        <f>SUBTOTAL(9,$R$3:$R199)</f>
        <v>0</v>
      </c>
      <c r="X199" s="36">
        <f>SUBTOTAL(9,$S$3:$S199)</f>
        <v>0</v>
      </c>
      <c r="Y199" s="23">
        <f>SUBTOTAL(9,$L$3:$L199)</f>
        <v>0</v>
      </c>
      <c r="Z199" s="10">
        <f>SUBTOTAL(9,$M$3:$M199)</f>
        <v>0</v>
      </c>
    </row>
    <row r="200" spans="3:26" x14ac:dyDescent="0.25">
      <c r="C200" s="9" t="e">
        <f>LOOKUP($B200,Aircrafts!$A$2:$A$1048576,Aircrafts!$B$2:$B$1048576)</f>
        <v>#N/A</v>
      </c>
      <c r="D200" s="10" t="e">
        <f>LOOKUP($B200,Aircrafts!$A$2:$A$1048576,Aircrafts!$C$2:$C$1048576)</f>
        <v>#N/A</v>
      </c>
      <c r="F200" s="10" t="e">
        <f>LOOKUP($E200,Aerodromes!$A$2:$A$1048576,Aerodromes!$B$2:$B$1048576)</f>
        <v>#N/A</v>
      </c>
      <c r="H200" s="10" t="e">
        <f>LOOKUP($G200,Aerodromes!$A$2:$A$1048576,Aerodromes!$B$2:$B$1048576)</f>
        <v>#N/A</v>
      </c>
      <c r="K200" s="13">
        <f t="shared" si="3"/>
        <v>0</v>
      </c>
      <c r="V200" s="34">
        <f>SUBTOTAL(9,$K$3:$K200)</f>
        <v>0</v>
      </c>
      <c r="W200" s="35">
        <f>SUBTOTAL(9,$R$3:$R200)</f>
        <v>0</v>
      </c>
      <c r="X200" s="36">
        <f>SUBTOTAL(9,$S$3:$S200)</f>
        <v>0</v>
      </c>
      <c r="Y200" s="23">
        <f>SUBTOTAL(9,$L$3:$L200)</f>
        <v>0</v>
      </c>
      <c r="Z200" s="10">
        <f>SUBTOTAL(9,$M$3:$M200)</f>
        <v>0</v>
      </c>
    </row>
    <row r="201" spans="3:26" x14ac:dyDescent="0.25">
      <c r="C201" s="9" t="e">
        <f>LOOKUP($B201,Aircrafts!$A$2:$A$1048576,Aircrafts!$B$2:$B$1048576)</f>
        <v>#N/A</v>
      </c>
      <c r="D201" s="10" t="e">
        <f>LOOKUP($B201,Aircrafts!$A$2:$A$1048576,Aircrafts!$C$2:$C$1048576)</f>
        <v>#N/A</v>
      </c>
      <c r="F201" s="10" t="e">
        <f>LOOKUP($E201,Aerodromes!$A$2:$A$1048576,Aerodromes!$B$2:$B$1048576)</f>
        <v>#N/A</v>
      </c>
      <c r="H201" s="10" t="e">
        <f>LOOKUP($G201,Aerodromes!$A$2:$A$1048576,Aerodromes!$B$2:$B$1048576)</f>
        <v>#N/A</v>
      </c>
      <c r="K201" s="13">
        <f t="shared" si="3"/>
        <v>0</v>
      </c>
      <c r="V201" s="34">
        <f>SUBTOTAL(9,$K$3:$K201)</f>
        <v>0</v>
      </c>
      <c r="W201" s="35">
        <f>SUBTOTAL(9,$R$3:$R201)</f>
        <v>0</v>
      </c>
      <c r="X201" s="36">
        <f>SUBTOTAL(9,$S$3:$S201)</f>
        <v>0</v>
      </c>
      <c r="Y201" s="23">
        <f>SUBTOTAL(9,$L$3:$L201)</f>
        <v>0</v>
      </c>
      <c r="Z201" s="10">
        <f>SUBTOTAL(9,$M$3:$M201)</f>
        <v>0</v>
      </c>
    </row>
    <row r="202" spans="3:26" x14ac:dyDescent="0.25">
      <c r="C202" s="9" t="e">
        <f>LOOKUP($B202,Aircrafts!$A$2:$A$1048576,Aircrafts!$B$2:$B$1048576)</f>
        <v>#N/A</v>
      </c>
      <c r="D202" s="10" t="e">
        <f>LOOKUP($B202,Aircrafts!$A$2:$A$1048576,Aircrafts!$C$2:$C$1048576)</f>
        <v>#N/A</v>
      </c>
      <c r="F202" s="10" t="e">
        <f>LOOKUP($E202,Aerodromes!$A$2:$A$1048576,Aerodromes!$B$2:$B$1048576)</f>
        <v>#N/A</v>
      </c>
      <c r="H202" s="10" t="e">
        <f>LOOKUP($G202,Aerodromes!$A$2:$A$1048576,Aerodromes!$B$2:$B$1048576)</f>
        <v>#N/A</v>
      </c>
      <c r="K202" s="13">
        <f t="shared" si="3"/>
        <v>0</v>
      </c>
      <c r="V202" s="34">
        <f>SUBTOTAL(9,$K$3:$K202)</f>
        <v>0</v>
      </c>
      <c r="W202" s="35">
        <f>SUBTOTAL(9,$R$3:$R202)</f>
        <v>0</v>
      </c>
      <c r="X202" s="36">
        <f>SUBTOTAL(9,$S$3:$S202)</f>
        <v>0</v>
      </c>
      <c r="Y202" s="23">
        <f>SUBTOTAL(9,$L$3:$L202)</f>
        <v>0</v>
      </c>
      <c r="Z202" s="10">
        <f>SUBTOTAL(9,$M$3:$M202)</f>
        <v>0</v>
      </c>
    </row>
    <row r="203" spans="3:26" x14ac:dyDescent="0.25">
      <c r="C203" s="9" t="e">
        <f>LOOKUP($B203,Aircrafts!$A$2:$A$1048576,Aircrafts!$B$2:$B$1048576)</f>
        <v>#N/A</v>
      </c>
      <c r="D203" s="10" t="e">
        <f>LOOKUP($B203,Aircrafts!$A$2:$A$1048576,Aircrafts!$C$2:$C$1048576)</f>
        <v>#N/A</v>
      </c>
      <c r="F203" s="10" t="e">
        <f>LOOKUP($E203,Aerodromes!$A$2:$A$1048576,Aerodromes!$B$2:$B$1048576)</f>
        <v>#N/A</v>
      </c>
      <c r="H203" s="10" t="e">
        <f>LOOKUP($G203,Aerodromes!$A$2:$A$1048576,Aerodromes!$B$2:$B$1048576)</f>
        <v>#N/A</v>
      </c>
      <c r="K203" s="13">
        <f t="shared" si="3"/>
        <v>0</v>
      </c>
      <c r="V203" s="34">
        <f>SUBTOTAL(9,$K$3:$K203)</f>
        <v>0</v>
      </c>
      <c r="W203" s="35">
        <f>SUBTOTAL(9,$R$3:$R203)</f>
        <v>0</v>
      </c>
      <c r="X203" s="36">
        <f>SUBTOTAL(9,$S$3:$S203)</f>
        <v>0</v>
      </c>
      <c r="Y203" s="23">
        <f>SUBTOTAL(9,$L$3:$L203)</f>
        <v>0</v>
      </c>
      <c r="Z203" s="10">
        <f>SUBTOTAL(9,$M$3:$M203)</f>
        <v>0</v>
      </c>
    </row>
    <row r="204" spans="3:26" x14ac:dyDescent="0.25">
      <c r="C204" s="9" t="e">
        <f>LOOKUP($B204,Aircrafts!$A$2:$A$1048576,Aircrafts!$B$2:$B$1048576)</f>
        <v>#N/A</v>
      </c>
      <c r="D204" s="10" t="e">
        <f>LOOKUP($B204,Aircrafts!$A$2:$A$1048576,Aircrafts!$C$2:$C$1048576)</f>
        <v>#N/A</v>
      </c>
      <c r="F204" s="10" t="e">
        <f>LOOKUP($E204,Aerodromes!$A$2:$A$1048576,Aerodromes!$B$2:$B$1048576)</f>
        <v>#N/A</v>
      </c>
      <c r="H204" s="10" t="e">
        <f>LOOKUP($G204,Aerodromes!$A$2:$A$1048576,Aerodromes!$B$2:$B$1048576)</f>
        <v>#N/A</v>
      </c>
      <c r="K204" s="13">
        <f t="shared" si="3"/>
        <v>0</v>
      </c>
      <c r="V204" s="34">
        <f>SUBTOTAL(9,$K$3:$K204)</f>
        <v>0</v>
      </c>
      <c r="W204" s="35">
        <f>SUBTOTAL(9,$R$3:$R204)</f>
        <v>0</v>
      </c>
      <c r="X204" s="36">
        <f>SUBTOTAL(9,$S$3:$S204)</f>
        <v>0</v>
      </c>
      <c r="Y204" s="23">
        <f>SUBTOTAL(9,$L$3:$L204)</f>
        <v>0</v>
      </c>
      <c r="Z204" s="10">
        <f>SUBTOTAL(9,$M$3:$M204)</f>
        <v>0</v>
      </c>
    </row>
    <row r="205" spans="3:26" x14ac:dyDescent="0.25">
      <c r="C205" s="9" t="e">
        <f>LOOKUP($B205,Aircrafts!$A$2:$A$1048576,Aircrafts!$B$2:$B$1048576)</f>
        <v>#N/A</v>
      </c>
      <c r="D205" s="10" t="e">
        <f>LOOKUP($B205,Aircrafts!$A$2:$A$1048576,Aircrafts!$C$2:$C$1048576)</f>
        <v>#N/A</v>
      </c>
      <c r="F205" s="10" t="e">
        <f>LOOKUP($E205,Aerodromes!$A$2:$A$1048576,Aerodromes!$B$2:$B$1048576)</f>
        <v>#N/A</v>
      </c>
      <c r="H205" s="10" t="e">
        <f>LOOKUP($G205,Aerodromes!$A$2:$A$1048576,Aerodromes!$B$2:$B$1048576)</f>
        <v>#N/A</v>
      </c>
      <c r="K205" s="13">
        <f t="shared" si="3"/>
        <v>0</v>
      </c>
      <c r="V205" s="34">
        <f>SUBTOTAL(9,$K$3:$K205)</f>
        <v>0</v>
      </c>
      <c r="W205" s="35">
        <f>SUBTOTAL(9,$R$3:$R205)</f>
        <v>0</v>
      </c>
      <c r="X205" s="36">
        <f>SUBTOTAL(9,$S$3:$S205)</f>
        <v>0</v>
      </c>
      <c r="Y205" s="23">
        <f>SUBTOTAL(9,$L$3:$L205)</f>
        <v>0</v>
      </c>
      <c r="Z205" s="10">
        <f>SUBTOTAL(9,$M$3:$M205)</f>
        <v>0</v>
      </c>
    </row>
    <row r="206" spans="3:26" x14ac:dyDescent="0.25">
      <c r="C206" s="9" t="e">
        <f>LOOKUP($B206,Aircrafts!$A$2:$A$1048576,Aircrafts!$B$2:$B$1048576)</f>
        <v>#N/A</v>
      </c>
      <c r="D206" s="10" t="e">
        <f>LOOKUP($B206,Aircrafts!$A$2:$A$1048576,Aircrafts!$C$2:$C$1048576)</f>
        <v>#N/A</v>
      </c>
      <c r="F206" s="10" t="e">
        <f>LOOKUP($E206,Aerodromes!$A$2:$A$1048576,Aerodromes!$B$2:$B$1048576)</f>
        <v>#N/A</v>
      </c>
      <c r="H206" s="10" t="e">
        <f>LOOKUP($G206,Aerodromes!$A$2:$A$1048576,Aerodromes!$B$2:$B$1048576)</f>
        <v>#N/A</v>
      </c>
      <c r="K206" s="13">
        <f t="shared" si="3"/>
        <v>0</v>
      </c>
      <c r="V206" s="34">
        <f>SUBTOTAL(9,$K$3:$K206)</f>
        <v>0</v>
      </c>
      <c r="W206" s="35">
        <f>SUBTOTAL(9,$R$3:$R206)</f>
        <v>0</v>
      </c>
      <c r="X206" s="36">
        <f>SUBTOTAL(9,$S$3:$S206)</f>
        <v>0</v>
      </c>
      <c r="Y206" s="23">
        <f>SUBTOTAL(9,$L$3:$L206)</f>
        <v>0</v>
      </c>
      <c r="Z206" s="10">
        <f>SUBTOTAL(9,$M$3:$M206)</f>
        <v>0</v>
      </c>
    </row>
    <row r="207" spans="3:26" x14ac:dyDescent="0.25">
      <c r="C207" s="9" t="e">
        <f>LOOKUP($B207,Aircrafts!$A$2:$A$1048576,Aircrafts!$B$2:$B$1048576)</f>
        <v>#N/A</v>
      </c>
      <c r="D207" s="10" t="e">
        <f>LOOKUP($B207,Aircrafts!$A$2:$A$1048576,Aircrafts!$C$2:$C$1048576)</f>
        <v>#N/A</v>
      </c>
      <c r="F207" s="10" t="e">
        <f>LOOKUP($E207,Aerodromes!$A$2:$A$1048576,Aerodromes!$B$2:$B$1048576)</f>
        <v>#N/A</v>
      </c>
      <c r="H207" s="10" t="e">
        <f>LOOKUP($G207,Aerodromes!$A$2:$A$1048576,Aerodromes!$B$2:$B$1048576)</f>
        <v>#N/A</v>
      </c>
      <c r="K207" s="13">
        <f t="shared" si="3"/>
        <v>0</v>
      </c>
      <c r="V207" s="34">
        <f>SUBTOTAL(9,$K$3:$K207)</f>
        <v>0</v>
      </c>
      <c r="W207" s="35">
        <f>SUBTOTAL(9,$R$3:$R207)</f>
        <v>0</v>
      </c>
      <c r="X207" s="36">
        <f>SUBTOTAL(9,$S$3:$S207)</f>
        <v>0</v>
      </c>
      <c r="Y207" s="23">
        <f>SUBTOTAL(9,$L$3:$L207)</f>
        <v>0</v>
      </c>
      <c r="Z207" s="10">
        <f>SUBTOTAL(9,$M$3:$M207)</f>
        <v>0</v>
      </c>
    </row>
    <row r="208" spans="3:26" x14ac:dyDescent="0.25">
      <c r="C208" s="9" t="e">
        <f>LOOKUP($B208,Aircrafts!$A$2:$A$1048576,Aircrafts!$B$2:$B$1048576)</f>
        <v>#N/A</v>
      </c>
      <c r="D208" s="10" t="e">
        <f>LOOKUP($B208,Aircrafts!$A$2:$A$1048576,Aircrafts!$C$2:$C$1048576)</f>
        <v>#N/A</v>
      </c>
      <c r="F208" s="10" t="e">
        <f>LOOKUP($E208,Aerodromes!$A$2:$A$1048576,Aerodromes!$B$2:$B$1048576)</f>
        <v>#N/A</v>
      </c>
      <c r="H208" s="10" t="e">
        <f>LOOKUP($G208,Aerodromes!$A$2:$A$1048576,Aerodromes!$B$2:$B$1048576)</f>
        <v>#N/A</v>
      </c>
      <c r="K208" s="13">
        <f t="shared" si="3"/>
        <v>0</v>
      </c>
      <c r="V208" s="34">
        <f>SUBTOTAL(9,$K$3:$K208)</f>
        <v>0</v>
      </c>
      <c r="W208" s="35">
        <f>SUBTOTAL(9,$R$3:$R208)</f>
        <v>0</v>
      </c>
      <c r="X208" s="36">
        <f>SUBTOTAL(9,$S$3:$S208)</f>
        <v>0</v>
      </c>
      <c r="Y208" s="23">
        <f>SUBTOTAL(9,$L$3:$L208)</f>
        <v>0</v>
      </c>
      <c r="Z208" s="10">
        <f>SUBTOTAL(9,$M$3:$M208)</f>
        <v>0</v>
      </c>
    </row>
    <row r="209" spans="3:26" x14ac:dyDescent="0.25">
      <c r="C209" s="9" t="e">
        <f>LOOKUP($B209,Aircrafts!$A$2:$A$1048576,Aircrafts!$B$2:$B$1048576)</f>
        <v>#N/A</v>
      </c>
      <c r="D209" s="10" t="e">
        <f>LOOKUP($B209,Aircrafts!$A$2:$A$1048576,Aircrafts!$C$2:$C$1048576)</f>
        <v>#N/A</v>
      </c>
      <c r="F209" s="10" t="e">
        <f>LOOKUP($E209,Aerodromes!$A$2:$A$1048576,Aerodromes!$B$2:$B$1048576)</f>
        <v>#N/A</v>
      </c>
      <c r="H209" s="10" t="e">
        <f>LOOKUP($G209,Aerodromes!$A$2:$A$1048576,Aerodromes!$B$2:$B$1048576)</f>
        <v>#N/A</v>
      </c>
      <c r="K209" s="13">
        <f t="shared" si="3"/>
        <v>0</v>
      </c>
      <c r="V209" s="34">
        <f>SUBTOTAL(9,$K$3:$K209)</f>
        <v>0</v>
      </c>
      <c r="W209" s="35">
        <f>SUBTOTAL(9,$R$3:$R209)</f>
        <v>0</v>
      </c>
      <c r="X209" s="36">
        <f>SUBTOTAL(9,$S$3:$S209)</f>
        <v>0</v>
      </c>
      <c r="Y209" s="23">
        <f>SUBTOTAL(9,$L$3:$L209)</f>
        <v>0</v>
      </c>
      <c r="Z209" s="10">
        <f>SUBTOTAL(9,$M$3:$M209)</f>
        <v>0</v>
      </c>
    </row>
    <row r="210" spans="3:26" x14ac:dyDescent="0.25">
      <c r="C210" s="9" t="e">
        <f>LOOKUP($B210,Aircrafts!$A$2:$A$1048576,Aircrafts!$B$2:$B$1048576)</f>
        <v>#N/A</v>
      </c>
      <c r="D210" s="10" t="e">
        <f>LOOKUP($B210,Aircrafts!$A$2:$A$1048576,Aircrafts!$C$2:$C$1048576)</f>
        <v>#N/A</v>
      </c>
      <c r="F210" s="10" t="e">
        <f>LOOKUP($E210,Aerodromes!$A$2:$A$1048576,Aerodromes!$B$2:$B$1048576)</f>
        <v>#N/A</v>
      </c>
      <c r="H210" s="10" t="e">
        <f>LOOKUP($G210,Aerodromes!$A$2:$A$1048576,Aerodromes!$B$2:$B$1048576)</f>
        <v>#N/A</v>
      </c>
      <c r="K210" s="13">
        <f t="shared" si="3"/>
        <v>0</v>
      </c>
      <c r="V210" s="34">
        <f>SUBTOTAL(9,$K$3:$K210)</f>
        <v>0</v>
      </c>
      <c r="W210" s="35">
        <f>SUBTOTAL(9,$R$3:$R210)</f>
        <v>0</v>
      </c>
      <c r="X210" s="36">
        <f>SUBTOTAL(9,$S$3:$S210)</f>
        <v>0</v>
      </c>
      <c r="Y210" s="23">
        <f>SUBTOTAL(9,$L$3:$L210)</f>
        <v>0</v>
      </c>
      <c r="Z210" s="10">
        <f>SUBTOTAL(9,$M$3:$M210)</f>
        <v>0</v>
      </c>
    </row>
    <row r="211" spans="3:26" x14ac:dyDescent="0.25">
      <c r="C211" s="9" t="e">
        <f>LOOKUP($B211,Aircrafts!$A$2:$A$1048576,Aircrafts!$B$2:$B$1048576)</f>
        <v>#N/A</v>
      </c>
      <c r="D211" s="10" t="e">
        <f>LOOKUP($B211,Aircrafts!$A$2:$A$1048576,Aircrafts!$C$2:$C$1048576)</f>
        <v>#N/A</v>
      </c>
      <c r="F211" s="10" t="e">
        <f>LOOKUP($E211,Aerodromes!$A$2:$A$1048576,Aerodromes!$B$2:$B$1048576)</f>
        <v>#N/A</v>
      </c>
      <c r="H211" s="10" t="e">
        <f>LOOKUP($G211,Aerodromes!$A$2:$A$1048576,Aerodromes!$B$2:$B$1048576)</f>
        <v>#N/A</v>
      </c>
      <c r="K211" s="13">
        <f t="shared" si="3"/>
        <v>0</v>
      </c>
      <c r="V211" s="34">
        <f>SUBTOTAL(9,$K$3:$K211)</f>
        <v>0</v>
      </c>
      <c r="W211" s="35">
        <f>SUBTOTAL(9,$R$3:$R211)</f>
        <v>0</v>
      </c>
      <c r="X211" s="36">
        <f>SUBTOTAL(9,$S$3:$S211)</f>
        <v>0</v>
      </c>
      <c r="Y211" s="23">
        <f>SUBTOTAL(9,$L$3:$L211)</f>
        <v>0</v>
      </c>
      <c r="Z211" s="10">
        <f>SUBTOTAL(9,$M$3:$M211)</f>
        <v>0</v>
      </c>
    </row>
    <row r="212" spans="3:26" x14ac:dyDescent="0.25">
      <c r="C212" s="9" t="e">
        <f>LOOKUP($B212,Aircrafts!$A$2:$A$1048576,Aircrafts!$B$2:$B$1048576)</f>
        <v>#N/A</v>
      </c>
      <c r="D212" s="10" t="e">
        <f>LOOKUP($B212,Aircrafts!$A$2:$A$1048576,Aircrafts!$C$2:$C$1048576)</f>
        <v>#N/A</v>
      </c>
      <c r="F212" s="10" t="e">
        <f>LOOKUP($E212,Aerodromes!$A$2:$A$1048576,Aerodromes!$B$2:$B$1048576)</f>
        <v>#N/A</v>
      </c>
      <c r="H212" s="10" t="e">
        <f>LOOKUP($G212,Aerodromes!$A$2:$A$1048576,Aerodromes!$B$2:$B$1048576)</f>
        <v>#N/A</v>
      </c>
      <c r="K212" s="13">
        <f t="shared" si="3"/>
        <v>0</v>
      </c>
      <c r="V212" s="34">
        <f>SUBTOTAL(9,$K$3:$K212)</f>
        <v>0</v>
      </c>
      <c r="W212" s="35">
        <f>SUBTOTAL(9,$R$3:$R212)</f>
        <v>0</v>
      </c>
      <c r="X212" s="36">
        <f>SUBTOTAL(9,$S$3:$S212)</f>
        <v>0</v>
      </c>
      <c r="Y212" s="23">
        <f>SUBTOTAL(9,$L$3:$L212)</f>
        <v>0</v>
      </c>
      <c r="Z212" s="10">
        <f>SUBTOTAL(9,$M$3:$M212)</f>
        <v>0</v>
      </c>
    </row>
    <row r="213" spans="3:26" x14ac:dyDescent="0.25">
      <c r="C213" s="9" t="e">
        <f>LOOKUP($B213,Aircrafts!$A$2:$A$1048576,Aircrafts!$B$2:$B$1048576)</f>
        <v>#N/A</v>
      </c>
      <c r="D213" s="10" t="e">
        <f>LOOKUP($B213,Aircrafts!$A$2:$A$1048576,Aircrafts!$C$2:$C$1048576)</f>
        <v>#N/A</v>
      </c>
      <c r="F213" s="10" t="e">
        <f>LOOKUP($E213,Aerodromes!$A$2:$A$1048576,Aerodromes!$B$2:$B$1048576)</f>
        <v>#N/A</v>
      </c>
      <c r="H213" s="10" t="e">
        <f>LOOKUP($G213,Aerodromes!$A$2:$A$1048576,Aerodromes!$B$2:$B$1048576)</f>
        <v>#N/A</v>
      </c>
      <c r="K213" s="13">
        <f t="shared" si="3"/>
        <v>0</v>
      </c>
      <c r="U213" s="37"/>
      <c r="V213" s="34">
        <f>SUBTOTAL(9,$K$3:$K213)</f>
        <v>0</v>
      </c>
      <c r="W213" s="35">
        <f>SUBTOTAL(9,$R$3:$R213)</f>
        <v>0</v>
      </c>
      <c r="X213" s="36">
        <f>SUBTOTAL(9,$S$3:$S213)</f>
        <v>0</v>
      </c>
      <c r="Y213" s="23">
        <f>SUBTOTAL(9,$L$3:$L213)</f>
        <v>0</v>
      </c>
      <c r="Z213" s="10">
        <f>SUBTOTAL(9,$M$3:$M213)</f>
        <v>0</v>
      </c>
    </row>
    <row r="214" spans="3:26" x14ac:dyDescent="0.25">
      <c r="C214" s="9" t="e">
        <f>LOOKUP($B214,Aircrafts!$A$2:$A$1048576,Aircrafts!$B$2:$B$1048576)</f>
        <v>#N/A</v>
      </c>
      <c r="D214" s="10" t="e">
        <f>LOOKUP($B214,Aircrafts!$A$2:$A$1048576,Aircrafts!$C$2:$C$1048576)</f>
        <v>#N/A</v>
      </c>
      <c r="F214" s="10" t="e">
        <f>LOOKUP($E214,Aerodromes!$A$2:$A$1048576,Aerodromes!$B$2:$B$1048576)</f>
        <v>#N/A</v>
      </c>
      <c r="H214" s="10" t="e">
        <f>LOOKUP($G214,Aerodromes!$A$2:$A$1048576,Aerodromes!$B$2:$B$1048576)</f>
        <v>#N/A</v>
      </c>
      <c r="K214" s="13">
        <f t="shared" si="3"/>
        <v>0</v>
      </c>
      <c r="V214" s="34">
        <f>SUBTOTAL(9,$K$3:$K214)</f>
        <v>0</v>
      </c>
      <c r="W214" s="35">
        <f>SUBTOTAL(9,$R$3:$R214)</f>
        <v>0</v>
      </c>
      <c r="X214" s="36">
        <f>SUBTOTAL(9,$S$3:$S214)</f>
        <v>0</v>
      </c>
      <c r="Y214" s="23">
        <f>SUBTOTAL(9,$L$3:$L214)</f>
        <v>0</v>
      </c>
      <c r="Z214" s="10">
        <f>SUBTOTAL(9,$M$3:$M214)</f>
        <v>0</v>
      </c>
    </row>
    <row r="215" spans="3:26" x14ac:dyDescent="0.25">
      <c r="C215" s="9" t="e">
        <f>LOOKUP($B215,Aircrafts!$A$2:$A$1048576,Aircrafts!$B$2:$B$1048576)</f>
        <v>#N/A</v>
      </c>
      <c r="D215" s="10" t="e">
        <f>LOOKUP($B215,Aircrafts!$A$2:$A$1048576,Aircrafts!$C$2:$C$1048576)</f>
        <v>#N/A</v>
      </c>
      <c r="F215" s="10" t="e">
        <f>LOOKUP($E215,Aerodromes!$A$2:$A$1048576,Aerodromes!$B$2:$B$1048576)</f>
        <v>#N/A</v>
      </c>
      <c r="H215" s="10" t="e">
        <f>LOOKUP($G215,Aerodromes!$A$2:$A$1048576,Aerodromes!$B$2:$B$1048576)</f>
        <v>#N/A</v>
      </c>
      <c r="K215" s="13">
        <f t="shared" si="3"/>
        <v>0</v>
      </c>
      <c r="V215" s="34">
        <f>SUBTOTAL(9,$K$3:$K215)</f>
        <v>0</v>
      </c>
      <c r="W215" s="35">
        <f>SUBTOTAL(9,$R$3:$R215)</f>
        <v>0</v>
      </c>
      <c r="X215" s="36">
        <f>SUBTOTAL(9,$S$3:$S215)</f>
        <v>0</v>
      </c>
      <c r="Y215" s="23">
        <f>SUBTOTAL(9,$L$3:$L215)</f>
        <v>0</v>
      </c>
      <c r="Z215" s="10">
        <f>SUBTOTAL(9,$M$3:$M215)</f>
        <v>0</v>
      </c>
    </row>
    <row r="216" spans="3:26" x14ac:dyDescent="0.25">
      <c r="C216" s="9" t="e">
        <f>LOOKUP($B216,Aircrafts!$A$2:$A$1048576,Aircrafts!$B$2:$B$1048576)</f>
        <v>#N/A</v>
      </c>
      <c r="D216" s="10" t="e">
        <f>LOOKUP($B216,Aircrafts!$A$2:$A$1048576,Aircrafts!$C$2:$C$1048576)</f>
        <v>#N/A</v>
      </c>
      <c r="F216" s="10" t="e">
        <f>LOOKUP($E216,Aerodromes!$A$2:$A$1048576,Aerodromes!$B$2:$B$1048576)</f>
        <v>#N/A</v>
      </c>
      <c r="H216" s="10" t="e">
        <f>LOOKUP($G216,Aerodromes!$A$2:$A$1048576,Aerodromes!$B$2:$B$1048576)</f>
        <v>#N/A</v>
      </c>
      <c r="K216" s="13">
        <f t="shared" si="3"/>
        <v>0</v>
      </c>
      <c r="V216" s="34">
        <f>SUBTOTAL(9,$K$3:$K216)</f>
        <v>0</v>
      </c>
      <c r="W216" s="35">
        <f>SUBTOTAL(9,$R$3:$R216)</f>
        <v>0</v>
      </c>
      <c r="X216" s="36">
        <f>SUBTOTAL(9,$S$3:$S216)</f>
        <v>0</v>
      </c>
      <c r="Y216" s="23">
        <f>SUBTOTAL(9,$L$3:$L216)</f>
        <v>0</v>
      </c>
      <c r="Z216" s="10">
        <f>SUBTOTAL(9,$M$3:$M216)</f>
        <v>0</v>
      </c>
    </row>
    <row r="217" spans="3:26" x14ac:dyDescent="0.25">
      <c r="C217" s="9" t="e">
        <f>LOOKUP($B217,Aircrafts!$A$2:$A$1048576,Aircrafts!$B$2:$B$1048576)</f>
        <v>#N/A</v>
      </c>
      <c r="D217" s="10" t="e">
        <f>LOOKUP($B217,Aircrafts!$A$2:$A$1048576,Aircrafts!$C$2:$C$1048576)</f>
        <v>#N/A</v>
      </c>
      <c r="F217" s="10" t="e">
        <f>LOOKUP($E217,Aerodromes!$A$2:$A$1048576,Aerodromes!$B$2:$B$1048576)</f>
        <v>#N/A</v>
      </c>
      <c r="H217" s="10" t="e">
        <f>LOOKUP($G217,Aerodromes!$A$2:$A$1048576,Aerodromes!$B$2:$B$1048576)</f>
        <v>#N/A</v>
      </c>
      <c r="K217" s="13">
        <f t="shared" si="3"/>
        <v>0</v>
      </c>
      <c r="V217" s="34">
        <f>SUBTOTAL(9,$K$3:$K217)</f>
        <v>0</v>
      </c>
      <c r="W217" s="35">
        <f>SUBTOTAL(9,$R$3:$R217)</f>
        <v>0</v>
      </c>
      <c r="X217" s="36">
        <f>SUBTOTAL(9,$S$3:$S217)</f>
        <v>0</v>
      </c>
      <c r="Y217" s="23">
        <f>SUBTOTAL(9,$L$3:$L217)</f>
        <v>0</v>
      </c>
      <c r="Z217" s="10">
        <f>SUBTOTAL(9,$M$3:$M217)</f>
        <v>0</v>
      </c>
    </row>
    <row r="218" spans="3:26" x14ac:dyDescent="0.25">
      <c r="C218" s="9" t="e">
        <f>LOOKUP($B218,Aircrafts!$A$2:$A$1048576,Aircrafts!$B$2:$B$1048576)</f>
        <v>#N/A</v>
      </c>
      <c r="D218" s="10" t="e">
        <f>LOOKUP($B218,Aircrafts!$A$2:$A$1048576,Aircrafts!$C$2:$C$1048576)</f>
        <v>#N/A</v>
      </c>
      <c r="F218" s="10" t="e">
        <f>LOOKUP($E218,Aerodromes!$A$2:$A$1048576,Aerodromes!$B$2:$B$1048576)</f>
        <v>#N/A</v>
      </c>
      <c r="H218" s="10" t="e">
        <f>LOOKUP($G218,Aerodromes!$A$2:$A$1048576,Aerodromes!$B$2:$B$1048576)</f>
        <v>#N/A</v>
      </c>
      <c r="K218" s="13">
        <f t="shared" si="3"/>
        <v>0</v>
      </c>
      <c r="V218" s="34">
        <f>SUBTOTAL(9,$K$3:$K218)</f>
        <v>0</v>
      </c>
      <c r="W218" s="35">
        <f>SUBTOTAL(9,$R$3:$R218)</f>
        <v>0</v>
      </c>
      <c r="X218" s="36">
        <f>SUBTOTAL(9,$S$3:$S218)</f>
        <v>0</v>
      </c>
      <c r="Y218" s="23">
        <f>SUBTOTAL(9,$L$3:$L218)</f>
        <v>0</v>
      </c>
      <c r="Z218" s="10">
        <f>SUBTOTAL(9,$M$3:$M218)</f>
        <v>0</v>
      </c>
    </row>
    <row r="219" spans="3:26" x14ac:dyDescent="0.25">
      <c r="C219" s="9" t="e">
        <f>LOOKUP($B219,Aircrafts!$A$2:$A$1048576,Aircrafts!$B$2:$B$1048576)</f>
        <v>#N/A</v>
      </c>
      <c r="D219" s="10" t="e">
        <f>LOOKUP($B219,Aircrafts!$A$2:$A$1048576,Aircrafts!$C$2:$C$1048576)</f>
        <v>#N/A</v>
      </c>
      <c r="F219" s="10" t="e">
        <f>LOOKUP($E219,Aerodromes!$A$2:$A$1048576,Aerodromes!$B$2:$B$1048576)</f>
        <v>#N/A</v>
      </c>
      <c r="H219" s="10" t="e">
        <f>LOOKUP($G219,Aerodromes!$A$2:$A$1048576,Aerodromes!$B$2:$B$1048576)</f>
        <v>#N/A</v>
      </c>
      <c r="K219" s="13">
        <f t="shared" si="3"/>
        <v>0</v>
      </c>
      <c r="V219" s="34">
        <f>SUBTOTAL(9,$K$3:$K219)</f>
        <v>0</v>
      </c>
      <c r="W219" s="35">
        <f>SUBTOTAL(9,$R$3:$R219)</f>
        <v>0</v>
      </c>
      <c r="X219" s="36">
        <f>SUBTOTAL(9,$S$3:$S219)</f>
        <v>0</v>
      </c>
      <c r="Y219" s="23">
        <f>SUBTOTAL(9,$L$3:$L219)</f>
        <v>0</v>
      </c>
      <c r="Z219" s="10">
        <f>SUBTOTAL(9,$M$3:$M219)</f>
        <v>0</v>
      </c>
    </row>
    <row r="220" spans="3:26" x14ac:dyDescent="0.25">
      <c r="C220" s="9" t="e">
        <f>LOOKUP($B220,Aircrafts!$A$2:$A$1048576,Aircrafts!$B$2:$B$1048576)</f>
        <v>#N/A</v>
      </c>
      <c r="D220" s="10" t="e">
        <f>LOOKUP($B220,Aircrafts!$A$2:$A$1048576,Aircrafts!$C$2:$C$1048576)</f>
        <v>#N/A</v>
      </c>
      <c r="F220" s="10" t="e">
        <f>LOOKUP($E220,Aerodromes!$A$2:$A$1048576,Aerodromes!$B$2:$B$1048576)</f>
        <v>#N/A</v>
      </c>
      <c r="H220" s="10" t="e">
        <f>LOOKUP($G220,Aerodromes!$A$2:$A$1048576,Aerodromes!$B$2:$B$1048576)</f>
        <v>#N/A</v>
      </c>
      <c r="K220" s="13">
        <f t="shared" si="3"/>
        <v>0</v>
      </c>
      <c r="V220" s="34">
        <f>SUBTOTAL(9,$K$3:$K220)</f>
        <v>0</v>
      </c>
      <c r="W220" s="35">
        <f>SUBTOTAL(9,$R$3:$R220)</f>
        <v>0</v>
      </c>
      <c r="X220" s="36">
        <f>SUBTOTAL(9,$S$3:$S220)</f>
        <v>0</v>
      </c>
      <c r="Y220" s="23">
        <f>SUBTOTAL(9,$L$3:$L220)</f>
        <v>0</v>
      </c>
      <c r="Z220" s="10">
        <f>SUBTOTAL(9,$M$3:$M220)</f>
        <v>0</v>
      </c>
    </row>
    <row r="221" spans="3:26" x14ac:dyDescent="0.25">
      <c r="C221" s="9" t="e">
        <f>LOOKUP($B221,Aircrafts!$A$2:$A$1048576,Aircrafts!$B$2:$B$1048576)</f>
        <v>#N/A</v>
      </c>
      <c r="D221" s="10" t="e">
        <f>LOOKUP($B221,Aircrafts!$A$2:$A$1048576,Aircrafts!$C$2:$C$1048576)</f>
        <v>#N/A</v>
      </c>
      <c r="F221" s="10" t="e">
        <f>LOOKUP($E221,Aerodromes!$A$2:$A$1048576,Aerodromes!$B$2:$B$1048576)</f>
        <v>#N/A</v>
      </c>
      <c r="H221" s="10" t="e">
        <f>LOOKUP($G221,Aerodromes!$A$2:$A$1048576,Aerodromes!$B$2:$B$1048576)</f>
        <v>#N/A</v>
      </c>
      <c r="K221" s="13">
        <f t="shared" si="3"/>
        <v>0</v>
      </c>
      <c r="V221" s="34">
        <f>SUBTOTAL(9,$K$3:$K221)</f>
        <v>0</v>
      </c>
      <c r="W221" s="35">
        <f>SUBTOTAL(9,$R$3:$R221)</f>
        <v>0</v>
      </c>
      <c r="X221" s="36">
        <f>SUBTOTAL(9,$S$3:$S221)</f>
        <v>0</v>
      </c>
      <c r="Y221" s="23">
        <f>SUBTOTAL(9,$L$3:$L221)</f>
        <v>0</v>
      </c>
      <c r="Z221" s="10">
        <f>SUBTOTAL(9,$M$3:$M221)</f>
        <v>0</v>
      </c>
    </row>
    <row r="222" spans="3:26" x14ac:dyDescent="0.25">
      <c r="C222" s="9" t="e">
        <f>LOOKUP($B222,Aircrafts!$A$2:$A$1048576,Aircrafts!$B$2:$B$1048576)</f>
        <v>#N/A</v>
      </c>
      <c r="D222" s="10" t="e">
        <f>LOOKUP($B222,Aircrafts!$A$2:$A$1048576,Aircrafts!$C$2:$C$1048576)</f>
        <v>#N/A</v>
      </c>
      <c r="F222" s="10" t="e">
        <f>LOOKUP($E222,Aerodromes!$A$2:$A$1048576,Aerodromes!$B$2:$B$1048576)</f>
        <v>#N/A</v>
      </c>
      <c r="H222" s="10" t="e">
        <f>LOOKUP($G222,Aerodromes!$A$2:$A$1048576,Aerodromes!$B$2:$B$1048576)</f>
        <v>#N/A</v>
      </c>
      <c r="K222" s="13">
        <f t="shared" si="3"/>
        <v>0</v>
      </c>
      <c r="V222" s="34">
        <f>SUBTOTAL(9,$K$3:$K222)</f>
        <v>0</v>
      </c>
      <c r="W222" s="35">
        <f>SUBTOTAL(9,$R$3:$R222)</f>
        <v>0</v>
      </c>
      <c r="X222" s="36">
        <f>SUBTOTAL(9,$S$3:$S222)</f>
        <v>0</v>
      </c>
      <c r="Y222" s="23">
        <f>SUBTOTAL(9,$L$3:$L222)</f>
        <v>0</v>
      </c>
      <c r="Z222" s="10">
        <f>SUBTOTAL(9,$M$3:$M222)</f>
        <v>0</v>
      </c>
    </row>
    <row r="223" spans="3:26" x14ac:dyDescent="0.25">
      <c r="C223" s="9" t="e">
        <f>LOOKUP($B223,Aircrafts!$A$2:$A$1048576,Aircrafts!$B$2:$B$1048576)</f>
        <v>#N/A</v>
      </c>
      <c r="D223" s="10" t="e">
        <f>LOOKUP($B223,Aircrafts!$A$2:$A$1048576,Aircrafts!$C$2:$C$1048576)</f>
        <v>#N/A</v>
      </c>
      <c r="F223" s="10" t="e">
        <f>LOOKUP($E223,Aerodromes!$A$2:$A$1048576,Aerodromes!$B$2:$B$1048576)</f>
        <v>#N/A</v>
      </c>
      <c r="H223" s="10" t="e">
        <f>LOOKUP($G223,Aerodromes!$A$2:$A$1048576,Aerodromes!$B$2:$B$1048576)</f>
        <v>#N/A</v>
      </c>
      <c r="K223" s="13">
        <f t="shared" si="3"/>
        <v>0</v>
      </c>
      <c r="V223" s="34">
        <f>SUBTOTAL(9,$K$3:$K223)</f>
        <v>0</v>
      </c>
      <c r="W223" s="35">
        <f>SUBTOTAL(9,$R$3:$R223)</f>
        <v>0</v>
      </c>
      <c r="X223" s="36">
        <f>SUBTOTAL(9,$S$3:$S223)</f>
        <v>0</v>
      </c>
      <c r="Y223" s="23">
        <f>SUBTOTAL(9,$L$3:$L223)</f>
        <v>0</v>
      </c>
      <c r="Z223" s="10">
        <f>SUBTOTAL(9,$M$3:$M223)</f>
        <v>0</v>
      </c>
    </row>
    <row r="224" spans="3:26" x14ac:dyDescent="0.25">
      <c r="C224" s="9" t="e">
        <f>LOOKUP($B224,Aircrafts!$A$2:$A$1048576,Aircrafts!$B$2:$B$1048576)</f>
        <v>#N/A</v>
      </c>
      <c r="D224" s="10" t="e">
        <f>LOOKUP($B224,Aircrafts!$A$2:$A$1048576,Aircrafts!$C$2:$C$1048576)</f>
        <v>#N/A</v>
      </c>
      <c r="F224" s="10" t="e">
        <f>LOOKUP($E224,Aerodromes!$A$2:$A$1048576,Aerodromes!$B$2:$B$1048576)</f>
        <v>#N/A</v>
      </c>
      <c r="H224" s="10" t="e">
        <f>LOOKUP($G224,Aerodromes!$A$2:$A$1048576,Aerodromes!$B$2:$B$1048576)</f>
        <v>#N/A</v>
      </c>
      <c r="K224" s="13">
        <f t="shared" si="3"/>
        <v>0</v>
      </c>
      <c r="V224" s="34">
        <f>SUBTOTAL(9,$K$3:$K224)</f>
        <v>0</v>
      </c>
      <c r="W224" s="35">
        <f>SUBTOTAL(9,$R$3:$R224)</f>
        <v>0</v>
      </c>
      <c r="X224" s="36">
        <f>SUBTOTAL(9,$S$3:$S224)</f>
        <v>0</v>
      </c>
      <c r="Y224" s="23">
        <f>SUBTOTAL(9,$L$3:$L224)</f>
        <v>0</v>
      </c>
      <c r="Z224" s="10">
        <f>SUBTOTAL(9,$M$3:$M224)</f>
        <v>0</v>
      </c>
    </row>
    <row r="225" spans="3:26" x14ac:dyDescent="0.25">
      <c r="C225" s="9" t="e">
        <f>LOOKUP($B225,Aircrafts!$A$2:$A$1048576,Aircrafts!$B$2:$B$1048576)</f>
        <v>#N/A</v>
      </c>
      <c r="D225" s="10" t="e">
        <f>LOOKUP($B225,Aircrafts!$A$2:$A$1048576,Aircrafts!$C$2:$C$1048576)</f>
        <v>#N/A</v>
      </c>
      <c r="F225" s="10" t="e">
        <f>LOOKUP($E225,Aerodromes!$A$2:$A$1048576,Aerodromes!$B$2:$B$1048576)</f>
        <v>#N/A</v>
      </c>
      <c r="H225" s="10" t="e">
        <f>LOOKUP($G225,Aerodromes!$A$2:$A$1048576,Aerodromes!$B$2:$B$1048576)</f>
        <v>#N/A</v>
      </c>
      <c r="K225" s="13">
        <f t="shared" si="3"/>
        <v>0</v>
      </c>
      <c r="V225" s="34">
        <f>SUBTOTAL(9,$K$3:$K225)</f>
        <v>0</v>
      </c>
      <c r="W225" s="35">
        <f>SUBTOTAL(9,$R$3:$R225)</f>
        <v>0</v>
      </c>
      <c r="X225" s="36">
        <f>SUBTOTAL(9,$S$3:$S225)</f>
        <v>0</v>
      </c>
      <c r="Y225" s="23">
        <f>SUBTOTAL(9,$L$3:$L225)</f>
        <v>0</v>
      </c>
      <c r="Z225" s="10">
        <f>SUBTOTAL(9,$M$3:$M225)</f>
        <v>0</v>
      </c>
    </row>
    <row r="226" spans="3:26" x14ac:dyDescent="0.25">
      <c r="C226" s="9" t="e">
        <f>LOOKUP($B226,Aircrafts!$A$2:$A$1048576,Aircrafts!$B$2:$B$1048576)</f>
        <v>#N/A</v>
      </c>
      <c r="D226" s="10" t="e">
        <f>LOOKUP($B226,Aircrafts!$A$2:$A$1048576,Aircrafts!$C$2:$C$1048576)</f>
        <v>#N/A</v>
      </c>
      <c r="F226" s="10" t="e">
        <f>LOOKUP($E226,Aerodromes!$A$2:$A$1048576,Aerodromes!$B$2:$B$1048576)</f>
        <v>#N/A</v>
      </c>
      <c r="H226" s="10" t="e">
        <f>LOOKUP($G226,Aerodromes!$A$2:$A$1048576,Aerodromes!$B$2:$B$1048576)</f>
        <v>#N/A</v>
      </c>
      <c r="K226" s="13">
        <f t="shared" si="3"/>
        <v>0</v>
      </c>
      <c r="V226" s="34">
        <f>SUBTOTAL(9,$K$3:$K226)</f>
        <v>0</v>
      </c>
      <c r="W226" s="35">
        <f>SUBTOTAL(9,$R$3:$R226)</f>
        <v>0</v>
      </c>
      <c r="X226" s="36">
        <f>SUBTOTAL(9,$S$3:$S226)</f>
        <v>0</v>
      </c>
      <c r="Y226" s="23">
        <f>SUBTOTAL(9,$L$3:$L226)</f>
        <v>0</v>
      </c>
      <c r="Z226" s="10">
        <f>SUBTOTAL(9,$M$3:$M226)</f>
        <v>0</v>
      </c>
    </row>
    <row r="227" spans="3:26" x14ac:dyDescent="0.25">
      <c r="C227" s="9" t="e">
        <f>LOOKUP($B227,Aircrafts!$A$2:$A$1048576,Aircrafts!$B$2:$B$1048576)</f>
        <v>#N/A</v>
      </c>
      <c r="D227" s="10" t="e">
        <f>LOOKUP($B227,Aircrafts!$A$2:$A$1048576,Aircrafts!$C$2:$C$1048576)</f>
        <v>#N/A</v>
      </c>
      <c r="F227" s="10" t="e">
        <f>LOOKUP($E227,Aerodromes!$A$2:$A$1048576,Aerodromes!$B$2:$B$1048576)</f>
        <v>#N/A</v>
      </c>
      <c r="H227" s="10" t="e">
        <f>LOOKUP($G227,Aerodromes!$A$2:$A$1048576,Aerodromes!$B$2:$B$1048576)</f>
        <v>#N/A</v>
      </c>
      <c r="K227" s="13">
        <f t="shared" si="3"/>
        <v>0</v>
      </c>
      <c r="V227" s="34">
        <f>SUBTOTAL(9,$K$3:$K227)</f>
        <v>0</v>
      </c>
      <c r="W227" s="35">
        <f>SUBTOTAL(9,$R$3:$R227)</f>
        <v>0</v>
      </c>
      <c r="X227" s="36">
        <f>SUBTOTAL(9,$S$3:$S227)</f>
        <v>0</v>
      </c>
      <c r="Y227" s="23">
        <f>SUBTOTAL(9,$L$3:$L227)</f>
        <v>0</v>
      </c>
      <c r="Z227" s="10">
        <f>SUBTOTAL(9,$M$3:$M227)</f>
        <v>0</v>
      </c>
    </row>
    <row r="228" spans="3:26" x14ac:dyDescent="0.25">
      <c r="C228" s="9" t="e">
        <f>LOOKUP($B228,Aircrafts!$A$2:$A$1048576,Aircrafts!$B$2:$B$1048576)</f>
        <v>#N/A</v>
      </c>
      <c r="D228" s="10" t="e">
        <f>LOOKUP($B228,Aircrafts!$A$2:$A$1048576,Aircrafts!$C$2:$C$1048576)</f>
        <v>#N/A</v>
      </c>
      <c r="F228" s="10" t="e">
        <f>LOOKUP($E228,Aerodromes!$A$2:$A$1048576,Aerodromes!$B$2:$B$1048576)</f>
        <v>#N/A</v>
      </c>
      <c r="H228" s="10" t="e">
        <f>LOOKUP($G228,Aerodromes!$A$2:$A$1048576,Aerodromes!$B$2:$B$1048576)</f>
        <v>#N/A</v>
      </c>
      <c r="K228" s="13">
        <f t="shared" si="3"/>
        <v>0</v>
      </c>
      <c r="V228" s="34">
        <f>SUBTOTAL(9,$K$3:$K228)</f>
        <v>0</v>
      </c>
      <c r="W228" s="35">
        <f>SUBTOTAL(9,$R$3:$R228)</f>
        <v>0</v>
      </c>
      <c r="X228" s="36">
        <f>SUBTOTAL(9,$S$3:$S228)</f>
        <v>0</v>
      </c>
      <c r="Y228" s="23">
        <f>SUBTOTAL(9,$L$3:$L228)</f>
        <v>0</v>
      </c>
      <c r="Z228" s="10">
        <f>SUBTOTAL(9,$M$3:$M228)</f>
        <v>0</v>
      </c>
    </row>
    <row r="229" spans="3:26" x14ac:dyDescent="0.25">
      <c r="C229" s="9" t="e">
        <f>LOOKUP($B229,Aircrafts!$A$2:$A$1048576,Aircrafts!$B$2:$B$1048576)</f>
        <v>#N/A</v>
      </c>
      <c r="D229" s="10" t="e">
        <f>LOOKUP($B229,Aircrafts!$A$2:$A$1048576,Aircrafts!$C$2:$C$1048576)</f>
        <v>#N/A</v>
      </c>
      <c r="F229" s="10" t="e">
        <f>LOOKUP($E229,Aerodromes!$A$2:$A$1048576,Aerodromes!$B$2:$B$1048576)</f>
        <v>#N/A</v>
      </c>
      <c r="H229" s="10" t="e">
        <f>LOOKUP($G229,Aerodromes!$A$2:$A$1048576,Aerodromes!$B$2:$B$1048576)</f>
        <v>#N/A</v>
      </c>
      <c r="K229" s="13">
        <f t="shared" si="3"/>
        <v>0</v>
      </c>
      <c r="V229" s="34">
        <f>SUBTOTAL(9,$K$3:$K229)</f>
        <v>0</v>
      </c>
      <c r="W229" s="35">
        <f>SUBTOTAL(9,$R$3:$R229)</f>
        <v>0</v>
      </c>
      <c r="X229" s="36">
        <f>SUBTOTAL(9,$S$3:$S229)</f>
        <v>0</v>
      </c>
      <c r="Y229" s="23">
        <f>SUBTOTAL(9,$L$3:$L229)</f>
        <v>0</v>
      </c>
      <c r="Z229" s="10">
        <f>SUBTOTAL(9,$M$3:$M229)</f>
        <v>0</v>
      </c>
    </row>
    <row r="230" spans="3:26" x14ac:dyDescent="0.25">
      <c r="C230" s="9" t="e">
        <f>LOOKUP($B230,Aircrafts!$A$2:$A$1048576,Aircrafts!$B$2:$B$1048576)</f>
        <v>#N/A</v>
      </c>
      <c r="D230" s="10" t="e">
        <f>LOOKUP($B230,Aircrafts!$A$2:$A$1048576,Aircrafts!$C$2:$C$1048576)</f>
        <v>#N/A</v>
      </c>
      <c r="F230" s="10" t="e">
        <f>LOOKUP($E230,Aerodromes!$A$2:$A$1048576,Aerodromes!$B$2:$B$1048576)</f>
        <v>#N/A</v>
      </c>
      <c r="H230" s="10" t="e">
        <f>LOOKUP($G230,Aerodromes!$A$2:$A$1048576,Aerodromes!$B$2:$B$1048576)</f>
        <v>#N/A</v>
      </c>
      <c r="K230" s="13">
        <f t="shared" si="3"/>
        <v>0</v>
      </c>
      <c r="V230" s="34">
        <f>SUBTOTAL(9,$K$3:$K230)</f>
        <v>0</v>
      </c>
      <c r="W230" s="35">
        <f>SUBTOTAL(9,$R$3:$R230)</f>
        <v>0</v>
      </c>
      <c r="X230" s="36">
        <f>SUBTOTAL(9,$S$3:$S230)</f>
        <v>0</v>
      </c>
      <c r="Y230" s="23">
        <f>SUBTOTAL(9,$L$3:$L230)</f>
        <v>0</v>
      </c>
      <c r="Z230" s="10">
        <f>SUBTOTAL(9,$M$3:$M230)</f>
        <v>0</v>
      </c>
    </row>
    <row r="231" spans="3:26" x14ac:dyDescent="0.25">
      <c r="C231" s="9" t="e">
        <f>LOOKUP($B231,Aircrafts!$A$2:$A$1048576,Aircrafts!$B$2:$B$1048576)</f>
        <v>#N/A</v>
      </c>
      <c r="D231" s="10" t="e">
        <f>LOOKUP($B231,Aircrafts!$A$2:$A$1048576,Aircrafts!$C$2:$C$1048576)</f>
        <v>#N/A</v>
      </c>
      <c r="F231" s="10" t="e">
        <f>LOOKUP($E231,Aerodromes!$A$2:$A$1048576,Aerodromes!$B$2:$B$1048576)</f>
        <v>#N/A</v>
      </c>
      <c r="H231" s="10" t="e">
        <f>LOOKUP($G231,Aerodromes!$A$2:$A$1048576,Aerodromes!$B$2:$B$1048576)</f>
        <v>#N/A</v>
      </c>
      <c r="K231" s="13">
        <f t="shared" si="3"/>
        <v>0</v>
      </c>
      <c r="V231" s="34">
        <f>SUBTOTAL(9,$K$3:$K231)</f>
        <v>0</v>
      </c>
      <c r="W231" s="35">
        <f>SUBTOTAL(9,$R$3:$R231)</f>
        <v>0</v>
      </c>
      <c r="X231" s="36">
        <f>SUBTOTAL(9,$S$3:$S231)</f>
        <v>0</v>
      </c>
      <c r="Y231" s="23">
        <f>SUBTOTAL(9,$L$3:$L231)</f>
        <v>0</v>
      </c>
      <c r="Z231" s="10">
        <f>SUBTOTAL(9,$M$3:$M231)</f>
        <v>0</v>
      </c>
    </row>
    <row r="232" spans="3:26" x14ac:dyDescent="0.25">
      <c r="C232" s="9" t="e">
        <f>LOOKUP($B232,Aircrafts!$A$2:$A$1048576,Aircrafts!$B$2:$B$1048576)</f>
        <v>#N/A</v>
      </c>
      <c r="D232" s="10" t="e">
        <f>LOOKUP($B232,Aircrafts!$A$2:$A$1048576,Aircrafts!$C$2:$C$1048576)</f>
        <v>#N/A</v>
      </c>
      <c r="F232" s="10" t="e">
        <f>LOOKUP($E232,Aerodromes!$A$2:$A$1048576,Aerodromes!$B$2:$B$1048576)</f>
        <v>#N/A</v>
      </c>
      <c r="H232" s="10" t="e">
        <f>LOOKUP($G232,Aerodromes!$A$2:$A$1048576,Aerodromes!$B$2:$B$1048576)</f>
        <v>#N/A</v>
      </c>
      <c r="K232" s="13">
        <f t="shared" si="3"/>
        <v>0</v>
      </c>
      <c r="V232" s="34">
        <f>SUBTOTAL(9,$K$3:$K232)</f>
        <v>0</v>
      </c>
      <c r="W232" s="35">
        <f>SUBTOTAL(9,$R$3:$R232)</f>
        <v>0</v>
      </c>
      <c r="X232" s="36">
        <f>SUBTOTAL(9,$S$3:$S232)</f>
        <v>0</v>
      </c>
      <c r="Y232" s="23">
        <f>SUBTOTAL(9,$L$3:$L232)</f>
        <v>0</v>
      </c>
      <c r="Z232" s="10">
        <f>SUBTOTAL(9,$M$3:$M232)</f>
        <v>0</v>
      </c>
    </row>
    <row r="233" spans="3:26" x14ac:dyDescent="0.25">
      <c r="C233" s="9" t="e">
        <f>LOOKUP($B233,Aircrafts!$A$2:$A$1048576,Aircrafts!$B$2:$B$1048576)</f>
        <v>#N/A</v>
      </c>
      <c r="D233" s="10" t="e">
        <f>LOOKUP($B233,Aircrafts!$A$2:$A$1048576,Aircrafts!$C$2:$C$1048576)</f>
        <v>#N/A</v>
      </c>
      <c r="F233" s="10" t="e">
        <f>LOOKUP($E233,Aerodromes!$A$2:$A$1048576,Aerodromes!$B$2:$B$1048576)</f>
        <v>#N/A</v>
      </c>
      <c r="H233" s="10" t="e">
        <f>LOOKUP($G233,Aerodromes!$A$2:$A$1048576,Aerodromes!$B$2:$B$1048576)</f>
        <v>#N/A</v>
      </c>
      <c r="K233" s="13">
        <f t="shared" si="3"/>
        <v>0</v>
      </c>
      <c r="V233" s="34">
        <f>SUBTOTAL(9,$K$3:$K233)</f>
        <v>0</v>
      </c>
      <c r="W233" s="35">
        <f>SUBTOTAL(9,$R$3:$R233)</f>
        <v>0</v>
      </c>
      <c r="X233" s="36">
        <f>SUBTOTAL(9,$S$3:$S233)</f>
        <v>0</v>
      </c>
      <c r="Y233" s="23">
        <f>SUBTOTAL(9,$L$3:$L233)</f>
        <v>0</v>
      </c>
      <c r="Z233" s="10">
        <f>SUBTOTAL(9,$M$3:$M233)</f>
        <v>0</v>
      </c>
    </row>
    <row r="234" spans="3:26" x14ac:dyDescent="0.25">
      <c r="C234" s="9" t="e">
        <f>LOOKUP($B234,Aircrafts!$A$2:$A$1048576,Aircrafts!$B$2:$B$1048576)</f>
        <v>#N/A</v>
      </c>
      <c r="D234" s="10" t="e">
        <f>LOOKUP($B234,Aircrafts!$A$2:$A$1048576,Aircrafts!$C$2:$C$1048576)</f>
        <v>#N/A</v>
      </c>
      <c r="F234" s="10" t="e">
        <f>LOOKUP($E234,Aerodromes!$A$2:$A$1048576,Aerodromes!$B$2:$B$1048576)</f>
        <v>#N/A</v>
      </c>
      <c r="H234" s="10" t="e">
        <f>LOOKUP($G234,Aerodromes!$A$2:$A$1048576,Aerodromes!$B$2:$B$1048576)</f>
        <v>#N/A</v>
      </c>
      <c r="K234" s="13">
        <f t="shared" si="3"/>
        <v>0</v>
      </c>
      <c r="V234" s="34">
        <f>SUBTOTAL(9,$K$3:$K234)</f>
        <v>0</v>
      </c>
      <c r="W234" s="35">
        <f>SUBTOTAL(9,$R$3:$R234)</f>
        <v>0</v>
      </c>
      <c r="X234" s="36">
        <f>SUBTOTAL(9,$S$3:$S234)</f>
        <v>0</v>
      </c>
      <c r="Y234" s="23">
        <f>SUBTOTAL(9,$L$3:$L234)</f>
        <v>0</v>
      </c>
      <c r="Z234" s="10">
        <f>SUBTOTAL(9,$M$3:$M234)</f>
        <v>0</v>
      </c>
    </row>
    <row r="235" spans="3:26" x14ac:dyDescent="0.25">
      <c r="C235" s="9" t="e">
        <f>LOOKUP($B235,Aircrafts!$A$2:$A$1048576,Aircrafts!$B$2:$B$1048576)</f>
        <v>#N/A</v>
      </c>
      <c r="D235" s="10" t="e">
        <f>LOOKUP($B235,Aircrafts!$A$2:$A$1048576,Aircrafts!$C$2:$C$1048576)</f>
        <v>#N/A</v>
      </c>
      <c r="F235" s="10" t="e">
        <f>LOOKUP($E235,Aerodromes!$A$2:$A$1048576,Aerodromes!$B$2:$B$1048576)</f>
        <v>#N/A</v>
      </c>
      <c r="H235" s="10" t="e">
        <f>LOOKUP($G235,Aerodromes!$A$2:$A$1048576,Aerodromes!$B$2:$B$1048576)</f>
        <v>#N/A</v>
      </c>
      <c r="K235" s="13">
        <f t="shared" si="3"/>
        <v>0</v>
      </c>
      <c r="V235" s="34">
        <f>SUBTOTAL(9,$K$3:$K235)</f>
        <v>0</v>
      </c>
      <c r="W235" s="35">
        <f>SUBTOTAL(9,$R$3:$R235)</f>
        <v>0</v>
      </c>
      <c r="X235" s="36">
        <f>SUBTOTAL(9,$S$3:$S235)</f>
        <v>0</v>
      </c>
      <c r="Y235" s="23">
        <f>SUBTOTAL(9,$L$3:$L235)</f>
        <v>0</v>
      </c>
      <c r="Z235" s="10">
        <f>SUBTOTAL(9,$M$3:$M235)</f>
        <v>0</v>
      </c>
    </row>
    <row r="236" spans="3:26" x14ac:dyDescent="0.25">
      <c r="C236" s="9" t="e">
        <f>LOOKUP($B236,Aircrafts!$A$2:$A$1048576,Aircrafts!$B$2:$B$1048576)</f>
        <v>#N/A</v>
      </c>
      <c r="D236" s="10" t="e">
        <f>LOOKUP($B236,Aircrafts!$A$2:$A$1048576,Aircrafts!$C$2:$C$1048576)</f>
        <v>#N/A</v>
      </c>
      <c r="F236" s="10" t="e">
        <f>LOOKUP($E236,Aerodromes!$A$2:$A$1048576,Aerodromes!$B$2:$B$1048576)</f>
        <v>#N/A</v>
      </c>
      <c r="H236" s="10" t="e">
        <f>LOOKUP($G236,Aerodromes!$A$2:$A$1048576,Aerodromes!$B$2:$B$1048576)</f>
        <v>#N/A</v>
      </c>
      <c r="K236" s="13">
        <f t="shared" si="3"/>
        <v>0</v>
      </c>
      <c r="V236" s="34">
        <f>SUBTOTAL(9,$K$3:$K236)</f>
        <v>0</v>
      </c>
      <c r="W236" s="35">
        <f>SUBTOTAL(9,$R$3:$R236)</f>
        <v>0</v>
      </c>
      <c r="X236" s="36">
        <f>SUBTOTAL(9,$S$3:$S236)</f>
        <v>0</v>
      </c>
      <c r="Y236" s="23">
        <f>SUBTOTAL(9,$L$3:$L236)</f>
        <v>0</v>
      </c>
      <c r="Z236" s="10">
        <f>SUBTOTAL(9,$M$3:$M236)</f>
        <v>0</v>
      </c>
    </row>
    <row r="237" spans="3:26" x14ac:dyDescent="0.25">
      <c r="C237" s="9" t="e">
        <f>LOOKUP($B237,Aircrafts!$A$2:$A$1048576,Aircrafts!$B$2:$B$1048576)</f>
        <v>#N/A</v>
      </c>
      <c r="D237" s="10" t="e">
        <f>LOOKUP($B237,Aircrafts!$A$2:$A$1048576,Aircrafts!$C$2:$C$1048576)</f>
        <v>#N/A</v>
      </c>
      <c r="F237" s="10" t="e">
        <f>LOOKUP($E237,Aerodromes!$A$2:$A$1048576,Aerodromes!$B$2:$B$1048576)</f>
        <v>#N/A</v>
      </c>
      <c r="H237" s="10" t="e">
        <f>LOOKUP($G237,Aerodromes!$A$2:$A$1048576,Aerodromes!$B$2:$B$1048576)</f>
        <v>#N/A</v>
      </c>
      <c r="K237" s="13">
        <f t="shared" si="3"/>
        <v>0</v>
      </c>
      <c r="V237" s="34">
        <f>SUBTOTAL(9,$K$3:$K237)</f>
        <v>0</v>
      </c>
      <c r="W237" s="35">
        <f>SUBTOTAL(9,$R$3:$R237)</f>
        <v>0</v>
      </c>
      <c r="X237" s="36">
        <f>SUBTOTAL(9,$S$3:$S237)</f>
        <v>0</v>
      </c>
      <c r="Y237" s="23">
        <f>SUBTOTAL(9,$L$3:$L237)</f>
        <v>0</v>
      </c>
      <c r="Z237" s="10">
        <f>SUBTOTAL(9,$M$3:$M237)</f>
        <v>0</v>
      </c>
    </row>
    <row r="238" spans="3:26" x14ac:dyDescent="0.25">
      <c r="C238" s="9" t="e">
        <f>LOOKUP($B238,Aircrafts!$A$2:$A$1048576,Aircrafts!$B$2:$B$1048576)</f>
        <v>#N/A</v>
      </c>
      <c r="D238" s="10" t="e">
        <f>LOOKUP($B238,Aircrafts!$A$2:$A$1048576,Aircrafts!$C$2:$C$1048576)</f>
        <v>#N/A</v>
      </c>
      <c r="F238" s="10" t="e">
        <f>LOOKUP($E238,Aerodromes!$A$2:$A$1048576,Aerodromes!$B$2:$B$1048576)</f>
        <v>#N/A</v>
      </c>
      <c r="H238" s="10" t="e">
        <f>LOOKUP($G238,Aerodromes!$A$2:$A$1048576,Aerodromes!$B$2:$B$1048576)</f>
        <v>#N/A</v>
      </c>
      <c r="K238" s="13">
        <f t="shared" si="3"/>
        <v>0</v>
      </c>
      <c r="V238" s="34">
        <f>SUBTOTAL(9,$K$3:$K238)</f>
        <v>0</v>
      </c>
      <c r="W238" s="35">
        <f>SUBTOTAL(9,$R$3:$R238)</f>
        <v>0</v>
      </c>
      <c r="X238" s="36">
        <f>SUBTOTAL(9,$S$3:$S238)</f>
        <v>0</v>
      </c>
      <c r="Y238" s="23">
        <f>SUBTOTAL(9,$L$3:$L238)</f>
        <v>0</v>
      </c>
      <c r="Z238" s="10">
        <f>SUBTOTAL(9,$M$3:$M238)</f>
        <v>0</v>
      </c>
    </row>
    <row r="239" spans="3:26" x14ac:dyDescent="0.25">
      <c r="C239" s="9" t="e">
        <f>LOOKUP($B239,Aircrafts!$A$2:$A$1048576,Aircrafts!$B$2:$B$1048576)</f>
        <v>#N/A</v>
      </c>
      <c r="D239" s="10" t="e">
        <f>LOOKUP($B239,Aircrafts!$A$2:$A$1048576,Aircrafts!$C$2:$C$1048576)</f>
        <v>#N/A</v>
      </c>
      <c r="F239" s="10" t="e">
        <f>LOOKUP($E239,Aerodromes!$A$2:$A$1048576,Aerodromes!$B$2:$B$1048576)</f>
        <v>#N/A</v>
      </c>
      <c r="H239" s="10" t="e">
        <f>LOOKUP($G239,Aerodromes!$A$2:$A$1048576,Aerodromes!$B$2:$B$1048576)</f>
        <v>#N/A</v>
      </c>
      <c r="K239" s="13">
        <f t="shared" si="3"/>
        <v>0</v>
      </c>
      <c r="V239" s="34">
        <f>SUBTOTAL(9,$K$3:$K239)</f>
        <v>0</v>
      </c>
      <c r="W239" s="35">
        <f>SUBTOTAL(9,$R$3:$R239)</f>
        <v>0</v>
      </c>
      <c r="X239" s="36">
        <f>SUBTOTAL(9,$S$3:$S239)</f>
        <v>0</v>
      </c>
      <c r="Y239" s="23">
        <f>SUBTOTAL(9,$L$3:$L239)</f>
        <v>0</v>
      </c>
      <c r="Z239" s="10">
        <f>SUBTOTAL(9,$M$3:$M239)</f>
        <v>0</v>
      </c>
    </row>
    <row r="240" spans="3:26" x14ac:dyDescent="0.25">
      <c r="C240" s="9" t="e">
        <f>LOOKUP($B240,Aircrafts!$A$2:$A$1048576,Aircrafts!$B$2:$B$1048576)</f>
        <v>#N/A</v>
      </c>
      <c r="D240" s="10" t="e">
        <f>LOOKUP($B240,Aircrafts!$A$2:$A$1048576,Aircrafts!$C$2:$C$1048576)</f>
        <v>#N/A</v>
      </c>
      <c r="F240" s="10" t="e">
        <f>LOOKUP($E240,Aerodromes!$A$2:$A$1048576,Aerodromes!$B$2:$B$1048576)</f>
        <v>#N/A</v>
      </c>
      <c r="H240" s="10" t="e">
        <f>LOOKUP($G240,Aerodromes!$A$2:$A$1048576,Aerodromes!$B$2:$B$1048576)</f>
        <v>#N/A</v>
      </c>
      <c r="K240" s="13">
        <f t="shared" si="3"/>
        <v>0</v>
      </c>
      <c r="V240" s="34">
        <f>SUBTOTAL(9,$K$3:$K240)</f>
        <v>0</v>
      </c>
      <c r="W240" s="35">
        <f>SUBTOTAL(9,$R$3:$R240)</f>
        <v>0</v>
      </c>
      <c r="X240" s="36">
        <f>SUBTOTAL(9,$S$3:$S240)</f>
        <v>0</v>
      </c>
      <c r="Y240" s="23">
        <f>SUBTOTAL(9,$L$3:$L240)</f>
        <v>0</v>
      </c>
      <c r="Z240" s="10">
        <f>SUBTOTAL(9,$M$3:$M240)</f>
        <v>0</v>
      </c>
    </row>
    <row r="241" spans="3:26" x14ac:dyDescent="0.25">
      <c r="C241" s="9" t="e">
        <f>LOOKUP($B241,Aircrafts!$A$2:$A$1048576,Aircrafts!$B$2:$B$1048576)</f>
        <v>#N/A</v>
      </c>
      <c r="D241" s="10" t="e">
        <f>LOOKUP($B241,Aircrafts!$A$2:$A$1048576,Aircrafts!$C$2:$C$1048576)</f>
        <v>#N/A</v>
      </c>
      <c r="F241" s="10" t="e">
        <f>LOOKUP($E241,Aerodromes!$A$2:$A$1048576,Aerodromes!$B$2:$B$1048576)</f>
        <v>#N/A</v>
      </c>
      <c r="H241" s="10" t="e">
        <f>LOOKUP($G241,Aerodromes!$A$2:$A$1048576,Aerodromes!$B$2:$B$1048576)</f>
        <v>#N/A</v>
      </c>
      <c r="K241" s="13">
        <f t="shared" si="3"/>
        <v>0</v>
      </c>
      <c r="V241" s="34">
        <f>SUBTOTAL(9,$K$3:$K241)</f>
        <v>0</v>
      </c>
      <c r="W241" s="35">
        <f>SUBTOTAL(9,$R$3:$R241)</f>
        <v>0</v>
      </c>
      <c r="X241" s="36">
        <f>SUBTOTAL(9,$S$3:$S241)</f>
        <v>0</v>
      </c>
      <c r="Y241" s="23">
        <f>SUBTOTAL(9,$L$3:$L241)</f>
        <v>0</v>
      </c>
      <c r="Z241" s="10">
        <f>SUBTOTAL(9,$M$3:$M241)</f>
        <v>0</v>
      </c>
    </row>
    <row r="242" spans="3:26" x14ac:dyDescent="0.25">
      <c r="C242" s="9" t="e">
        <f>LOOKUP($B242,Aircrafts!$A$2:$A$1048576,Aircrafts!$B$2:$B$1048576)</f>
        <v>#N/A</v>
      </c>
      <c r="D242" s="10" t="e">
        <f>LOOKUP($B242,Aircrafts!$A$2:$A$1048576,Aircrafts!$C$2:$C$1048576)</f>
        <v>#N/A</v>
      </c>
      <c r="F242" s="10" t="e">
        <f>LOOKUP($E242,Aerodromes!$A$2:$A$1048576,Aerodromes!$B$2:$B$1048576)</f>
        <v>#N/A</v>
      </c>
      <c r="H242" s="10" t="e">
        <f>LOOKUP($G242,Aerodromes!$A$2:$A$1048576,Aerodromes!$B$2:$B$1048576)</f>
        <v>#N/A</v>
      </c>
      <c r="K242" s="13">
        <f t="shared" si="3"/>
        <v>0</v>
      </c>
      <c r="V242" s="34">
        <f>SUBTOTAL(9,$K$3:$K242)</f>
        <v>0</v>
      </c>
      <c r="W242" s="35">
        <f>SUBTOTAL(9,$R$3:$R242)</f>
        <v>0</v>
      </c>
      <c r="X242" s="36">
        <f>SUBTOTAL(9,$S$3:$S242)</f>
        <v>0</v>
      </c>
      <c r="Y242" s="23">
        <f>SUBTOTAL(9,$L$3:$L242)</f>
        <v>0</v>
      </c>
      <c r="Z242" s="10">
        <f>SUBTOTAL(9,$M$3:$M242)</f>
        <v>0</v>
      </c>
    </row>
    <row r="243" spans="3:26" x14ac:dyDescent="0.25">
      <c r="C243" s="9" t="e">
        <f>LOOKUP($B243,Aircrafts!$A$2:$A$1048576,Aircrafts!$B$2:$B$1048576)</f>
        <v>#N/A</v>
      </c>
      <c r="D243" s="10" t="e">
        <f>LOOKUP($B243,Aircrafts!$A$2:$A$1048576,Aircrafts!$C$2:$C$1048576)</f>
        <v>#N/A</v>
      </c>
      <c r="F243" s="10" t="e">
        <f>LOOKUP($E243,Aerodromes!$A$2:$A$1048576,Aerodromes!$B$2:$B$1048576)</f>
        <v>#N/A</v>
      </c>
      <c r="H243" s="10" t="e">
        <f>LOOKUP($G243,Aerodromes!$A$2:$A$1048576,Aerodromes!$B$2:$B$1048576)</f>
        <v>#N/A</v>
      </c>
      <c r="K243" s="13">
        <f t="shared" si="3"/>
        <v>0</v>
      </c>
      <c r="V243" s="34">
        <f>SUBTOTAL(9,$K$3:$K243)</f>
        <v>0</v>
      </c>
      <c r="W243" s="35">
        <f>SUBTOTAL(9,$R$3:$R243)</f>
        <v>0</v>
      </c>
      <c r="X243" s="36">
        <f>SUBTOTAL(9,$S$3:$S243)</f>
        <v>0</v>
      </c>
      <c r="Y243" s="23">
        <f>SUBTOTAL(9,$L$3:$L243)</f>
        <v>0</v>
      </c>
      <c r="Z243" s="10">
        <f>SUBTOTAL(9,$M$3:$M243)</f>
        <v>0</v>
      </c>
    </row>
    <row r="244" spans="3:26" x14ac:dyDescent="0.25">
      <c r="C244" s="9" t="e">
        <f>LOOKUP($B244,Aircrafts!$A$2:$A$1048576,Aircrafts!$B$2:$B$1048576)</f>
        <v>#N/A</v>
      </c>
      <c r="D244" s="10" t="e">
        <f>LOOKUP($B244,Aircrafts!$A$2:$A$1048576,Aircrafts!$C$2:$C$1048576)</f>
        <v>#N/A</v>
      </c>
      <c r="F244" s="10" t="e">
        <f>LOOKUP($E244,Aerodromes!$A$2:$A$1048576,Aerodromes!$B$2:$B$1048576)</f>
        <v>#N/A</v>
      </c>
      <c r="H244" s="10" t="e">
        <f>LOOKUP($G244,Aerodromes!$A$2:$A$1048576,Aerodromes!$B$2:$B$1048576)</f>
        <v>#N/A</v>
      </c>
      <c r="K244" s="13">
        <f t="shared" si="3"/>
        <v>0</v>
      </c>
      <c r="V244" s="34">
        <f>SUBTOTAL(9,$K$3:$K244)</f>
        <v>0</v>
      </c>
      <c r="W244" s="35">
        <f>SUBTOTAL(9,$R$3:$R244)</f>
        <v>0</v>
      </c>
      <c r="X244" s="36">
        <f>SUBTOTAL(9,$S$3:$S244)</f>
        <v>0</v>
      </c>
      <c r="Y244" s="23">
        <f>SUBTOTAL(9,$L$3:$L244)</f>
        <v>0</v>
      </c>
      <c r="Z244" s="10">
        <f>SUBTOTAL(9,$M$3:$M244)</f>
        <v>0</v>
      </c>
    </row>
    <row r="245" spans="3:26" x14ac:dyDescent="0.25">
      <c r="C245" s="9" t="e">
        <f>LOOKUP($B245,Aircrafts!$A$2:$A$1048576,Aircrafts!$B$2:$B$1048576)</f>
        <v>#N/A</v>
      </c>
      <c r="D245" s="10" t="e">
        <f>LOOKUP($B245,Aircrafts!$A$2:$A$1048576,Aircrafts!$C$2:$C$1048576)</f>
        <v>#N/A</v>
      </c>
      <c r="F245" s="10" t="e">
        <f>LOOKUP($E245,Aerodromes!$A$2:$A$1048576,Aerodromes!$B$2:$B$1048576)</f>
        <v>#N/A</v>
      </c>
      <c r="H245" s="10" t="e">
        <f>LOOKUP($G245,Aerodromes!$A$2:$A$1048576,Aerodromes!$B$2:$B$1048576)</f>
        <v>#N/A</v>
      </c>
      <c r="K245" s="13">
        <f t="shared" si="3"/>
        <v>0</v>
      </c>
      <c r="V245" s="34">
        <f>SUBTOTAL(9,$K$3:$K245)</f>
        <v>0</v>
      </c>
      <c r="W245" s="35">
        <f>SUBTOTAL(9,$R$3:$R245)</f>
        <v>0</v>
      </c>
      <c r="X245" s="36">
        <f>SUBTOTAL(9,$S$3:$S245)</f>
        <v>0</v>
      </c>
      <c r="Y245" s="23">
        <f>SUBTOTAL(9,$L$3:$L245)</f>
        <v>0</v>
      </c>
      <c r="Z245" s="10">
        <f>SUBTOTAL(9,$M$3:$M245)</f>
        <v>0</v>
      </c>
    </row>
    <row r="246" spans="3:26" x14ac:dyDescent="0.25">
      <c r="C246" s="9" t="e">
        <f>LOOKUP($B246,Aircrafts!$A$2:$A$1048576,Aircrafts!$B$2:$B$1048576)</f>
        <v>#N/A</v>
      </c>
      <c r="D246" s="10" t="e">
        <f>LOOKUP($B246,Aircrafts!$A$2:$A$1048576,Aircrafts!$C$2:$C$1048576)</f>
        <v>#N/A</v>
      </c>
      <c r="F246" s="10" t="e">
        <f>LOOKUP($E246,Aerodromes!$A$2:$A$1048576,Aerodromes!$B$2:$B$1048576)</f>
        <v>#N/A</v>
      </c>
      <c r="H246" s="10" t="e">
        <f>LOOKUP($G246,Aerodromes!$A$2:$A$1048576,Aerodromes!$B$2:$B$1048576)</f>
        <v>#N/A</v>
      </c>
      <c r="K246" s="13">
        <f t="shared" si="3"/>
        <v>0</v>
      </c>
      <c r="V246" s="34">
        <f>SUBTOTAL(9,$K$3:$K246)</f>
        <v>0</v>
      </c>
      <c r="W246" s="35">
        <f>SUBTOTAL(9,$R$3:$R246)</f>
        <v>0</v>
      </c>
      <c r="X246" s="36">
        <f>SUBTOTAL(9,$S$3:$S246)</f>
        <v>0</v>
      </c>
      <c r="Y246" s="23">
        <f>SUBTOTAL(9,$L$3:$L246)</f>
        <v>0</v>
      </c>
      <c r="Z246" s="10">
        <f>SUBTOTAL(9,$M$3:$M246)</f>
        <v>0</v>
      </c>
    </row>
    <row r="247" spans="3:26" x14ac:dyDescent="0.25">
      <c r="C247" s="9" t="e">
        <f>LOOKUP($B247,Aircrafts!$A$2:$A$1048576,Aircrafts!$B$2:$B$1048576)</f>
        <v>#N/A</v>
      </c>
      <c r="D247" s="10" t="e">
        <f>LOOKUP($B247,Aircrafts!$A$2:$A$1048576,Aircrafts!$C$2:$C$1048576)</f>
        <v>#N/A</v>
      </c>
      <c r="F247" s="10" t="e">
        <f>LOOKUP($E247,Aerodromes!$A$2:$A$1048576,Aerodromes!$B$2:$B$1048576)</f>
        <v>#N/A</v>
      </c>
      <c r="H247" s="10" t="e">
        <f>LOOKUP($G247,Aerodromes!$A$2:$A$1048576,Aerodromes!$B$2:$B$1048576)</f>
        <v>#N/A</v>
      </c>
      <c r="K247" s="13">
        <f t="shared" si="3"/>
        <v>0</v>
      </c>
      <c r="V247" s="34">
        <f>SUBTOTAL(9,$K$3:$K247)</f>
        <v>0</v>
      </c>
      <c r="W247" s="35">
        <f>SUBTOTAL(9,$R$3:$R247)</f>
        <v>0</v>
      </c>
      <c r="X247" s="36">
        <f>SUBTOTAL(9,$S$3:$S247)</f>
        <v>0</v>
      </c>
      <c r="Y247" s="23">
        <f>SUBTOTAL(9,$L$3:$L247)</f>
        <v>0</v>
      </c>
      <c r="Z247" s="10">
        <f>SUBTOTAL(9,$M$3:$M247)</f>
        <v>0</v>
      </c>
    </row>
    <row r="248" spans="3:26" x14ac:dyDescent="0.25">
      <c r="C248" s="9" t="e">
        <f>LOOKUP($B248,Aircrafts!$A$2:$A$1048576,Aircrafts!$B$2:$B$1048576)</f>
        <v>#N/A</v>
      </c>
      <c r="D248" s="10" t="e">
        <f>LOOKUP($B248,Aircrafts!$A$2:$A$1048576,Aircrafts!$C$2:$C$1048576)</f>
        <v>#N/A</v>
      </c>
      <c r="F248" s="10" t="e">
        <f>LOOKUP($E248,Aerodromes!$A$2:$A$1048576,Aerodromes!$B$2:$B$1048576)</f>
        <v>#N/A</v>
      </c>
      <c r="H248" s="10" t="e">
        <f>LOOKUP($G248,Aerodromes!$A$2:$A$1048576,Aerodromes!$B$2:$B$1048576)</f>
        <v>#N/A</v>
      </c>
      <c r="K248" s="13">
        <f t="shared" si="3"/>
        <v>0</v>
      </c>
      <c r="V248" s="34">
        <f>SUBTOTAL(9,$K$3:$K248)</f>
        <v>0</v>
      </c>
      <c r="W248" s="35">
        <f>SUBTOTAL(9,$R$3:$R248)</f>
        <v>0</v>
      </c>
      <c r="X248" s="36">
        <f>SUBTOTAL(9,$S$3:$S248)</f>
        <v>0</v>
      </c>
      <c r="Y248" s="23">
        <f>SUBTOTAL(9,$L$3:$L248)</f>
        <v>0</v>
      </c>
      <c r="Z248" s="10">
        <f>SUBTOTAL(9,$M$3:$M248)</f>
        <v>0</v>
      </c>
    </row>
    <row r="249" spans="3:26" x14ac:dyDescent="0.25">
      <c r="C249" s="9" t="e">
        <f>LOOKUP($B249,Aircrafts!$A$2:$A$1048576,Aircrafts!$B$2:$B$1048576)</f>
        <v>#N/A</v>
      </c>
      <c r="D249" s="10" t="e">
        <f>LOOKUP($B249,Aircrafts!$A$2:$A$1048576,Aircrafts!$C$2:$C$1048576)</f>
        <v>#N/A</v>
      </c>
      <c r="F249" s="10" t="e">
        <f>LOOKUP($E249,Aerodromes!$A$2:$A$1048576,Aerodromes!$B$2:$B$1048576)</f>
        <v>#N/A</v>
      </c>
      <c r="H249" s="10" t="e">
        <f>LOOKUP($G249,Aerodromes!$A$2:$A$1048576,Aerodromes!$B$2:$B$1048576)</f>
        <v>#N/A</v>
      </c>
      <c r="K249" s="13">
        <f t="shared" si="3"/>
        <v>0</v>
      </c>
      <c r="V249" s="34">
        <f>SUBTOTAL(9,$K$3:$K249)</f>
        <v>0</v>
      </c>
      <c r="W249" s="35">
        <f>SUBTOTAL(9,$R$3:$R249)</f>
        <v>0</v>
      </c>
      <c r="X249" s="36">
        <f>SUBTOTAL(9,$S$3:$S249)</f>
        <v>0</v>
      </c>
      <c r="Y249" s="23">
        <f>SUBTOTAL(9,$L$3:$L249)</f>
        <v>0</v>
      </c>
      <c r="Z249" s="10">
        <f>SUBTOTAL(9,$M$3:$M249)</f>
        <v>0</v>
      </c>
    </row>
    <row r="250" spans="3:26" x14ac:dyDescent="0.25">
      <c r="C250" s="9" t="e">
        <f>LOOKUP($B250,Aircrafts!$A$2:$A$1048576,Aircrafts!$B$2:$B$1048576)</f>
        <v>#N/A</v>
      </c>
      <c r="D250" s="10" t="e">
        <f>LOOKUP($B250,Aircrafts!$A$2:$A$1048576,Aircrafts!$C$2:$C$1048576)</f>
        <v>#N/A</v>
      </c>
      <c r="F250" s="10" t="e">
        <f>LOOKUP($E250,Aerodromes!$A$2:$A$1048576,Aerodromes!$B$2:$B$1048576)</f>
        <v>#N/A</v>
      </c>
      <c r="H250" s="10" t="e">
        <f>LOOKUP($G250,Aerodromes!$A$2:$A$1048576,Aerodromes!$B$2:$B$1048576)</f>
        <v>#N/A</v>
      </c>
      <c r="K250" s="13">
        <f t="shared" si="3"/>
        <v>0</v>
      </c>
      <c r="V250" s="34">
        <f>SUBTOTAL(9,$K$3:$K250)</f>
        <v>0</v>
      </c>
      <c r="W250" s="35">
        <f>SUBTOTAL(9,$R$3:$R250)</f>
        <v>0</v>
      </c>
      <c r="X250" s="36">
        <f>SUBTOTAL(9,$S$3:$S250)</f>
        <v>0</v>
      </c>
      <c r="Y250" s="23">
        <f>SUBTOTAL(9,$L$3:$L250)</f>
        <v>0</v>
      </c>
      <c r="Z250" s="10">
        <f>SUBTOTAL(9,$M$3:$M250)</f>
        <v>0</v>
      </c>
    </row>
    <row r="251" spans="3:26" x14ac:dyDescent="0.25">
      <c r="C251" s="9" t="e">
        <f>LOOKUP($B251,Aircrafts!$A$2:$A$1048576,Aircrafts!$B$2:$B$1048576)</f>
        <v>#N/A</v>
      </c>
      <c r="D251" s="10" t="e">
        <f>LOOKUP($B251,Aircrafts!$A$2:$A$1048576,Aircrafts!$C$2:$C$1048576)</f>
        <v>#N/A</v>
      </c>
      <c r="F251" s="10" t="e">
        <f>LOOKUP($E251,Aerodromes!$A$2:$A$1048576,Aerodromes!$B$2:$B$1048576)</f>
        <v>#N/A</v>
      </c>
      <c r="H251" s="10" t="e">
        <f>LOOKUP($G251,Aerodromes!$A$2:$A$1048576,Aerodromes!$B$2:$B$1048576)</f>
        <v>#N/A</v>
      </c>
      <c r="K251" s="13">
        <f t="shared" si="3"/>
        <v>0</v>
      </c>
      <c r="V251" s="34">
        <f>SUBTOTAL(9,$K$3:$K251)</f>
        <v>0</v>
      </c>
      <c r="W251" s="35">
        <f>SUBTOTAL(9,$R$3:$R251)</f>
        <v>0</v>
      </c>
      <c r="X251" s="36">
        <f>SUBTOTAL(9,$S$3:$S251)</f>
        <v>0</v>
      </c>
      <c r="Y251" s="23">
        <f>SUBTOTAL(9,$L$3:$L251)</f>
        <v>0</v>
      </c>
      <c r="Z251" s="10">
        <f>SUBTOTAL(9,$M$3:$M251)</f>
        <v>0</v>
      </c>
    </row>
    <row r="252" spans="3:26" x14ac:dyDescent="0.25">
      <c r="C252" s="9" t="e">
        <f>LOOKUP($B252,Aircrafts!$A$2:$A$1048576,Aircrafts!$B$2:$B$1048576)</f>
        <v>#N/A</v>
      </c>
      <c r="D252" s="10" t="e">
        <f>LOOKUP($B252,Aircrafts!$A$2:$A$1048576,Aircrafts!$C$2:$C$1048576)</f>
        <v>#N/A</v>
      </c>
      <c r="F252" s="10" t="e">
        <f>LOOKUP($E252,Aerodromes!$A$2:$A$1048576,Aerodromes!$B$2:$B$1048576)</f>
        <v>#N/A</v>
      </c>
      <c r="H252" s="10" t="e">
        <f>LOOKUP($G252,Aerodromes!$A$2:$A$1048576,Aerodromes!$B$2:$B$1048576)</f>
        <v>#N/A</v>
      </c>
      <c r="K252" s="13">
        <f t="shared" si="3"/>
        <v>0</v>
      </c>
      <c r="V252" s="34">
        <f>SUBTOTAL(9,$K$3:$K252)</f>
        <v>0</v>
      </c>
      <c r="W252" s="35">
        <f>SUBTOTAL(9,$R$3:$R252)</f>
        <v>0</v>
      </c>
      <c r="X252" s="36">
        <f>SUBTOTAL(9,$S$3:$S252)</f>
        <v>0</v>
      </c>
      <c r="Y252" s="23">
        <f>SUBTOTAL(9,$L$3:$L252)</f>
        <v>0</v>
      </c>
      <c r="Z252" s="10">
        <f>SUBTOTAL(9,$M$3:$M252)</f>
        <v>0</v>
      </c>
    </row>
    <row r="253" spans="3:26" x14ac:dyDescent="0.25">
      <c r="C253" s="9" t="e">
        <f>LOOKUP($B253,Aircrafts!$A$2:$A$1048576,Aircrafts!$B$2:$B$1048576)</f>
        <v>#N/A</v>
      </c>
      <c r="D253" s="10" t="e">
        <f>LOOKUP($B253,Aircrafts!$A$2:$A$1048576,Aircrafts!$C$2:$C$1048576)</f>
        <v>#N/A</v>
      </c>
      <c r="F253" s="10" t="e">
        <f>LOOKUP($E253,Aerodromes!$A$2:$A$1048576,Aerodromes!$B$2:$B$1048576)</f>
        <v>#N/A</v>
      </c>
      <c r="H253" s="10" t="e">
        <f>LOOKUP($G253,Aerodromes!$A$2:$A$1048576,Aerodromes!$B$2:$B$1048576)</f>
        <v>#N/A</v>
      </c>
      <c r="K253" s="13">
        <f t="shared" si="3"/>
        <v>0</v>
      </c>
      <c r="V253" s="34">
        <f>SUBTOTAL(9,$K$3:$K253)</f>
        <v>0</v>
      </c>
      <c r="W253" s="35">
        <f>SUBTOTAL(9,$R$3:$R253)</f>
        <v>0</v>
      </c>
      <c r="X253" s="36">
        <f>SUBTOTAL(9,$S$3:$S253)</f>
        <v>0</v>
      </c>
      <c r="Y253" s="23">
        <f>SUBTOTAL(9,$L$3:$L253)</f>
        <v>0</v>
      </c>
      <c r="Z253" s="10">
        <f>SUBTOTAL(9,$M$3:$M253)</f>
        <v>0</v>
      </c>
    </row>
    <row r="254" spans="3:26" x14ac:dyDescent="0.25">
      <c r="C254" s="9" t="e">
        <f>LOOKUP($B254,Aircrafts!$A$2:$A$1048576,Aircrafts!$B$2:$B$1048576)</f>
        <v>#N/A</v>
      </c>
      <c r="D254" s="10" t="e">
        <f>LOOKUP($B254,Aircrafts!$A$2:$A$1048576,Aircrafts!$C$2:$C$1048576)</f>
        <v>#N/A</v>
      </c>
      <c r="F254" s="10" t="e">
        <f>LOOKUP($E254,Aerodromes!$A$2:$A$1048576,Aerodromes!$B$2:$B$1048576)</f>
        <v>#N/A</v>
      </c>
      <c r="H254" s="10" t="e">
        <f>LOOKUP($G254,Aerodromes!$A$2:$A$1048576,Aerodromes!$B$2:$B$1048576)</f>
        <v>#N/A</v>
      </c>
      <c r="K254" s="13">
        <f t="shared" si="3"/>
        <v>0</v>
      </c>
      <c r="V254" s="34">
        <f>SUBTOTAL(9,$K$3:$K254)</f>
        <v>0</v>
      </c>
      <c r="W254" s="35">
        <f>SUBTOTAL(9,$R$3:$R254)</f>
        <v>0</v>
      </c>
      <c r="X254" s="36">
        <f>SUBTOTAL(9,$S$3:$S254)</f>
        <v>0</v>
      </c>
      <c r="Y254" s="23">
        <f>SUBTOTAL(9,$L$3:$L254)</f>
        <v>0</v>
      </c>
      <c r="Z254" s="10">
        <f>SUBTOTAL(9,$M$3:$M254)</f>
        <v>0</v>
      </c>
    </row>
    <row r="255" spans="3:26" x14ac:dyDescent="0.25">
      <c r="C255" s="9" t="e">
        <f>LOOKUP($B255,Aircrafts!$A$2:$A$1048576,Aircrafts!$B$2:$B$1048576)</f>
        <v>#N/A</v>
      </c>
      <c r="D255" s="10" t="e">
        <f>LOOKUP($B255,Aircrafts!$A$2:$A$1048576,Aircrafts!$C$2:$C$1048576)</f>
        <v>#N/A</v>
      </c>
      <c r="F255" s="10" t="e">
        <f>LOOKUP($E255,Aerodromes!$A$2:$A$1048576,Aerodromes!$B$2:$B$1048576)</f>
        <v>#N/A</v>
      </c>
      <c r="H255" s="10" t="e">
        <f>LOOKUP($G255,Aerodromes!$A$2:$A$1048576,Aerodromes!$B$2:$B$1048576)</f>
        <v>#N/A</v>
      </c>
      <c r="K255" s="13">
        <f t="shared" si="3"/>
        <v>0</v>
      </c>
      <c r="V255" s="34">
        <f>SUBTOTAL(9,$K$3:$K255)</f>
        <v>0</v>
      </c>
      <c r="W255" s="35">
        <f>SUBTOTAL(9,$R$3:$R255)</f>
        <v>0</v>
      </c>
      <c r="X255" s="36">
        <f>SUBTOTAL(9,$S$3:$S255)</f>
        <v>0</v>
      </c>
      <c r="Y255" s="23">
        <f>SUBTOTAL(9,$L$3:$L255)</f>
        <v>0</v>
      </c>
      <c r="Z255" s="10">
        <f>SUBTOTAL(9,$M$3:$M255)</f>
        <v>0</v>
      </c>
    </row>
    <row r="256" spans="3:26" x14ac:dyDescent="0.25">
      <c r="C256" s="9" t="e">
        <f>LOOKUP($B256,Aircrafts!$A$2:$A$1048576,Aircrafts!$B$2:$B$1048576)</f>
        <v>#N/A</v>
      </c>
      <c r="D256" s="10" t="e">
        <f>LOOKUP($B256,Aircrafts!$A$2:$A$1048576,Aircrafts!$C$2:$C$1048576)</f>
        <v>#N/A</v>
      </c>
      <c r="F256" s="10" t="e">
        <f>LOOKUP($E256,Aerodromes!$A$2:$A$1048576,Aerodromes!$B$2:$B$1048576)</f>
        <v>#N/A</v>
      </c>
      <c r="H256" s="10" t="e">
        <f>LOOKUP($G256,Aerodromes!$A$2:$A$1048576,Aerodromes!$B$2:$B$1048576)</f>
        <v>#N/A</v>
      </c>
      <c r="K256" s="13">
        <f t="shared" si="3"/>
        <v>0</v>
      </c>
      <c r="V256" s="34">
        <f>SUBTOTAL(9,$K$3:$K256)</f>
        <v>0</v>
      </c>
      <c r="W256" s="35">
        <f>SUBTOTAL(9,$R$3:$R256)</f>
        <v>0</v>
      </c>
      <c r="X256" s="36">
        <f>SUBTOTAL(9,$S$3:$S256)</f>
        <v>0</v>
      </c>
      <c r="Y256" s="23">
        <f>SUBTOTAL(9,$L$3:$L256)</f>
        <v>0</v>
      </c>
      <c r="Z256" s="10">
        <f>SUBTOTAL(9,$M$3:$M256)</f>
        <v>0</v>
      </c>
    </row>
    <row r="257" spans="3:26" x14ac:dyDescent="0.25">
      <c r="C257" s="9" t="e">
        <f>LOOKUP($B257,Aircrafts!$A$2:$A$1048576,Aircrafts!$B$2:$B$1048576)</f>
        <v>#N/A</v>
      </c>
      <c r="D257" s="10" t="e">
        <f>LOOKUP($B257,Aircrafts!$A$2:$A$1048576,Aircrafts!$C$2:$C$1048576)</f>
        <v>#N/A</v>
      </c>
      <c r="F257" s="10" t="e">
        <f>LOOKUP($E257,Aerodromes!$A$2:$A$1048576,Aerodromes!$B$2:$B$1048576)</f>
        <v>#N/A</v>
      </c>
      <c r="H257" s="10" t="e">
        <f>LOOKUP($G257,Aerodromes!$A$2:$A$1048576,Aerodromes!$B$2:$B$1048576)</f>
        <v>#N/A</v>
      </c>
      <c r="K257" s="13">
        <f t="shared" si="3"/>
        <v>0</v>
      </c>
      <c r="V257" s="34">
        <f>SUBTOTAL(9,$K$3:$K257)</f>
        <v>0</v>
      </c>
      <c r="W257" s="35">
        <f>SUBTOTAL(9,$R$3:$R257)</f>
        <v>0</v>
      </c>
      <c r="X257" s="36">
        <f>SUBTOTAL(9,$S$3:$S257)</f>
        <v>0</v>
      </c>
      <c r="Y257" s="23">
        <f>SUBTOTAL(9,$L$3:$L257)</f>
        <v>0</v>
      </c>
      <c r="Z257" s="10">
        <f>SUBTOTAL(9,$M$3:$M257)</f>
        <v>0</v>
      </c>
    </row>
    <row r="258" spans="3:26" x14ac:dyDescent="0.25">
      <c r="C258" s="9" t="e">
        <f>LOOKUP($B258,Aircrafts!$A$2:$A$1048576,Aircrafts!$B$2:$B$1048576)</f>
        <v>#N/A</v>
      </c>
      <c r="D258" s="10" t="e">
        <f>LOOKUP($B258,Aircrafts!$A$2:$A$1048576,Aircrafts!$C$2:$C$1048576)</f>
        <v>#N/A</v>
      </c>
      <c r="F258" s="10" t="e">
        <f>LOOKUP($E258,Aerodromes!$A$2:$A$1048576,Aerodromes!$B$2:$B$1048576)</f>
        <v>#N/A</v>
      </c>
      <c r="H258" s="10" t="e">
        <f>LOOKUP($G258,Aerodromes!$A$2:$A$1048576,Aerodromes!$B$2:$B$1048576)</f>
        <v>#N/A</v>
      </c>
      <c r="K258" s="13">
        <f t="shared" si="3"/>
        <v>0</v>
      </c>
      <c r="V258" s="34">
        <f>SUBTOTAL(9,$K$3:$K258)</f>
        <v>0</v>
      </c>
      <c r="W258" s="35">
        <f>SUBTOTAL(9,$R$3:$R258)</f>
        <v>0</v>
      </c>
      <c r="X258" s="36">
        <f>SUBTOTAL(9,$S$3:$S258)</f>
        <v>0</v>
      </c>
      <c r="Y258" s="23">
        <f>SUBTOTAL(9,$L$3:$L258)</f>
        <v>0</v>
      </c>
      <c r="Z258" s="10">
        <f>SUBTOTAL(9,$M$3:$M258)</f>
        <v>0</v>
      </c>
    </row>
    <row r="259" spans="3:26" x14ac:dyDescent="0.25">
      <c r="C259" s="9" t="e">
        <f>LOOKUP($B259,Aircrafts!$A$2:$A$1048576,Aircrafts!$B$2:$B$1048576)</f>
        <v>#N/A</v>
      </c>
      <c r="D259" s="10" t="e">
        <f>LOOKUP($B259,Aircrafts!$A$2:$A$1048576,Aircrafts!$C$2:$C$1048576)</f>
        <v>#N/A</v>
      </c>
      <c r="F259" s="10" t="e">
        <f>LOOKUP($E259,Aerodromes!$A$2:$A$1048576,Aerodromes!$B$2:$B$1048576)</f>
        <v>#N/A</v>
      </c>
      <c r="H259" s="10" t="e">
        <f>LOOKUP($G259,Aerodromes!$A$2:$A$1048576,Aerodromes!$B$2:$B$1048576)</f>
        <v>#N/A</v>
      </c>
      <c r="K259" s="13">
        <f t="shared" ref="K259:K322" si="4">IF($J259&gt;=$I259,$J259-$I259,1+$J259-$I259)</f>
        <v>0</v>
      </c>
      <c r="V259" s="34">
        <f>SUBTOTAL(9,$K$3:$K259)</f>
        <v>0</v>
      </c>
      <c r="W259" s="35">
        <f>SUBTOTAL(9,$R$3:$R259)</f>
        <v>0</v>
      </c>
      <c r="X259" s="36">
        <f>SUBTOTAL(9,$S$3:$S259)</f>
        <v>0</v>
      </c>
      <c r="Y259" s="23">
        <f>SUBTOTAL(9,$L$3:$L259)</f>
        <v>0</v>
      </c>
      <c r="Z259" s="10">
        <f>SUBTOTAL(9,$M$3:$M259)</f>
        <v>0</v>
      </c>
    </row>
    <row r="260" spans="3:26" x14ac:dyDescent="0.25">
      <c r="C260" s="9" t="e">
        <f>LOOKUP($B260,Aircrafts!$A$2:$A$1048576,Aircrafts!$B$2:$B$1048576)</f>
        <v>#N/A</v>
      </c>
      <c r="D260" s="10" t="e">
        <f>LOOKUP($B260,Aircrafts!$A$2:$A$1048576,Aircrafts!$C$2:$C$1048576)</f>
        <v>#N/A</v>
      </c>
      <c r="F260" s="10" t="e">
        <f>LOOKUP($E260,Aerodromes!$A$2:$A$1048576,Aerodromes!$B$2:$B$1048576)</f>
        <v>#N/A</v>
      </c>
      <c r="H260" s="10" t="e">
        <f>LOOKUP($G260,Aerodromes!$A$2:$A$1048576,Aerodromes!$B$2:$B$1048576)</f>
        <v>#N/A</v>
      </c>
      <c r="K260" s="13">
        <f t="shared" si="4"/>
        <v>0</v>
      </c>
      <c r="V260" s="34">
        <f>SUBTOTAL(9,$K$3:$K260)</f>
        <v>0</v>
      </c>
      <c r="W260" s="35">
        <f>SUBTOTAL(9,$R$3:$R260)</f>
        <v>0</v>
      </c>
      <c r="X260" s="36">
        <f>SUBTOTAL(9,$S$3:$S260)</f>
        <v>0</v>
      </c>
      <c r="Y260" s="23">
        <f>SUBTOTAL(9,$L$3:$L260)</f>
        <v>0</v>
      </c>
      <c r="Z260" s="10">
        <f>SUBTOTAL(9,$M$3:$M260)</f>
        <v>0</v>
      </c>
    </row>
    <row r="261" spans="3:26" x14ac:dyDescent="0.25">
      <c r="C261" s="9" t="e">
        <f>LOOKUP($B261,Aircrafts!$A$2:$A$1048576,Aircrafts!$B$2:$B$1048576)</f>
        <v>#N/A</v>
      </c>
      <c r="D261" s="10" t="e">
        <f>LOOKUP($B261,Aircrafts!$A$2:$A$1048576,Aircrafts!$C$2:$C$1048576)</f>
        <v>#N/A</v>
      </c>
      <c r="F261" s="10" t="e">
        <f>LOOKUP($E261,Aerodromes!$A$2:$A$1048576,Aerodromes!$B$2:$B$1048576)</f>
        <v>#N/A</v>
      </c>
      <c r="H261" s="10" t="e">
        <f>LOOKUP($G261,Aerodromes!$A$2:$A$1048576,Aerodromes!$B$2:$B$1048576)</f>
        <v>#N/A</v>
      </c>
      <c r="K261" s="13">
        <f t="shared" si="4"/>
        <v>0</v>
      </c>
      <c r="V261" s="34">
        <f>SUBTOTAL(9,$K$3:$K261)</f>
        <v>0</v>
      </c>
      <c r="W261" s="35">
        <f>SUBTOTAL(9,$R$3:$R261)</f>
        <v>0</v>
      </c>
      <c r="X261" s="36">
        <f>SUBTOTAL(9,$S$3:$S261)</f>
        <v>0</v>
      </c>
      <c r="Y261" s="23">
        <f>SUBTOTAL(9,$L$3:$L261)</f>
        <v>0</v>
      </c>
      <c r="Z261" s="10">
        <f>SUBTOTAL(9,$M$3:$M261)</f>
        <v>0</v>
      </c>
    </row>
    <row r="262" spans="3:26" x14ac:dyDescent="0.25">
      <c r="C262" s="9" t="e">
        <f>LOOKUP($B262,Aircrafts!$A$2:$A$1048576,Aircrafts!$B$2:$B$1048576)</f>
        <v>#N/A</v>
      </c>
      <c r="D262" s="10" t="e">
        <f>LOOKUP($B262,Aircrafts!$A$2:$A$1048576,Aircrafts!$C$2:$C$1048576)</f>
        <v>#N/A</v>
      </c>
      <c r="F262" s="10" t="e">
        <f>LOOKUP($E262,Aerodromes!$A$2:$A$1048576,Aerodromes!$B$2:$B$1048576)</f>
        <v>#N/A</v>
      </c>
      <c r="H262" s="10" t="e">
        <f>LOOKUP($G262,Aerodromes!$A$2:$A$1048576,Aerodromes!$B$2:$B$1048576)</f>
        <v>#N/A</v>
      </c>
      <c r="K262" s="13">
        <f t="shared" si="4"/>
        <v>0</v>
      </c>
      <c r="V262" s="34">
        <f>SUBTOTAL(9,$K$3:$K262)</f>
        <v>0</v>
      </c>
      <c r="W262" s="35">
        <f>SUBTOTAL(9,$R$3:$R262)</f>
        <v>0</v>
      </c>
      <c r="X262" s="36">
        <f>SUBTOTAL(9,$S$3:$S262)</f>
        <v>0</v>
      </c>
      <c r="Y262" s="23">
        <f>SUBTOTAL(9,$L$3:$L262)</f>
        <v>0</v>
      </c>
      <c r="Z262" s="10">
        <f>SUBTOTAL(9,$M$3:$M262)</f>
        <v>0</v>
      </c>
    </row>
    <row r="263" spans="3:26" x14ac:dyDescent="0.25">
      <c r="C263" s="9" t="e">
        <f>LOOKUP($B263,Aircrafts!$A$2:$A$1048576,Aircrafts!$B$2:$B$1048576)</f>
        <v>#N/A</v>
      </c>
      <c r="D263" s="10" t="e">
        <f>LOOKUP($B263,Aircrafts!$A$2:$A$1048576,Aircrafts!$C$2:$C$1048576)</f>
        <v>#N/A</v>
      </c>
      <c r="F263" s="10" t="e">
        <f>LOOKUP($E263,Aerodromes!$A$2:$A$1048576,Aerodromes!$B$2:$B$1048576)</f>
        <v>#N/A</v>
      </c>
      <c r="H263" s="10" t="e">
        <f>LOOKUP($G263,Aerodromes!$A$2:$A$1048576,Aerodromes!$B$2:$B$1048576)</f>
        <v>#N/A</v>
      </c>
      <c r="K263" s="13">
        <f t="shared" si="4"/>
        <v>0</v>
      </c>
      <c r="V263" s="34">
        <f>SUBTOTAL(9,$K$3:$K263)</f>
        <v>0</v>
      </c>
      <c r="W263" s="35">
        <f>SUBTOTAL(9,$R$3:$R263)</f>
        <v>0</v>
      </c>
      <c r="X263" s="36">
        <f>SUBTOTAL(9,$S$3:$S263)</f>
        <v>0</v>
      </c>
      <c r="Y263" s="23">
        <f>SUBTOTAL(9,$L$3:$L263)</f>
        <v>0</v>
      </c>
      <c r="Z263" s="10">
        <f>SUBTOTAL(9,$M$3:$M263)</f>
        <v>0</v>
      </c>
    </row>
    <row r="264" spans="3:26" x14ac:dyDescent="0.25">
      <c r="C264" s="9" t="e">
        <f>LOOKUP($B264,Aircrafts!$A$2:$A$1048576,Aircrafts!$B$2:$B$1048576)</f>
        <v>#N/A</v>
      </c>
      <c r="D264" s="10" t="e">
        <f>LOOKUP($B264,Aircrafts!$A$2:$A$1048576,Aircrafts!$C$2:$C$1048576)</f>
        <v>#N/A</v>
      </c>
      <c r="F264" s="10" t="e">
        <f>LOOKUP($E264,Aerodromes!$A$2:$A$1048576,Aerodromes!$B$2:$B$1048576)</f>
        <v>#N/A</v>
      </c>
      <c r="H264" s="10" t="e">
        <f>LOOKUP($G264,Aerodromes!$A$2:$A$1048576,Aerodromes!$B$2:$B$1048576)</f>
        <v>#N/A</v>
      </c>
      <c r="K264" s="13">
        <f t="shared" si="4"/>
        <v>0</v>
      </c>
      <c r="V264" s="34">
        <f>SUBTOTAL(9,$K$3:$K264)</f>
        <v>0</v>
      </c>
      <c r="W264" s="35">
        <f>SUBTOTAL(9,$R$3:$R264)</f>
        <v>0</v>
      </c>
      <c r="X264" s="36">
        <f>SUBTOTAL(9,$S$3:$S264)</f>
        <v>0</v>
      </c>
      <c r="Y264" s="23">
        <f>SUBTOTAL(9,$L$3:$L264)</f>
        <v>0</v>
      </c>
      <c r="Z264" s="10">
        <f>SUBTOTAL(9,$M$3:$M264)</f>
        <v>0</v>
      </c>
    </row>
    <row r="265" spans="3:26" x14ac:dyDescent="0.25">
      <c r="C265" s="9" t="e">
        <f>LOOKUP($B265,Aircrafts!$A$2:$A$1048576,Aircrafts!$B$2:$B$1048576)</f>
        <v>#N/A</v>
      </c>
      <c r="D265" s="10" t="e">
        <f>LOOKUP($B265,Aircrafts!$A$2:$A$1048576,Aircrafts!$C$2:$C$1048576)</f>
        <v>#N/A</v>
      </c>
      <c r="F265" s="10" t="e">
        <f>LOOKUP($E265,Aerodromes!$A$2:$A$1048576,Aerodromes!$B$2:$B$1048576)</f>
        <v>#N/A</v>
      </c>
      <c r="H265" s="10" t="e">
        <f>LOOKUP($G265,Aerodromes!$A$2:$A$1048576,Aerodromes!$B$2:$B$1048576)</f>
        <v>#N/A</v>
      </c>
      <c r="K265" s="13">
        <f t="shared" si="4"/>
        <v>0</v>
      </c>
      <c r="V265" s="34">
        <f>SUBTOTAL(9,$K$3:$K265)</f>
        <v>0</v>
      </c>
      <c r="W265" s="35">
        <f>SUBTOTAL(9,$R$3:$R265)</f>
        <v>0</v>
      </c>
      <c r="X265" s="36">
        <f>SUBTOTAL(9,$S$3:$S265)</f>
        <v>0</v>
      </c>
      <c r="Y265" s="23">
        <f>SUBTOTAL(9,$L$3:$L265)</f>
        <v>0</v>
      </c>
      <c r="Z265" s="10">
        <f>SUBTOTAL(9,$M$3:$M265)</f>
        <v>0</v>
      </c>
    </row>
    <row r="266" spans="3:26" x14ac:dyDescent="0.25">
      <c r="C266" s="9" t="e">
        <f>LOOKUP($B266,Aircrafts!$A$2:$A$1048576,Aircrafts!$B$2:$B$1048576)</f>
        <v>#N/A</v>
      </c>
      <c r="D266" s="10" t="e">
        <f>LOOKUP($B266,Aircrafts!$A$2:$A$1048576,Aircrafts!$C$2:$C$1048576)</f>
        <v>#N/A</v>
      </c>
      <c r="F266" s="10" t="e">
        <f>LOOKUP($E266,Aerodromes!$A$2:$A$1048576,Aerodromes!$B$2:$B$1048576)</f>
        <v>#N/A</v>
      </c>
      <c r="H266" s="10" t="e">
        <f>LOOKUP($G266,Aerodromes!$A$2:$A$1048576,Aerodromes!$B$2:$B$1048576)</f>
        <v>#N/A</v>
      </c>
      <c r="K266" s="13">
        <f t="shared" si="4"/>
        <v>0</v>
      </c>
      <c r="V266" s="34">
        <f>SUBTOTAL(9,$K$3:$K266)</f>
        <v>0</v>
      </c>
      <c r="W266" s="35">
        <f>SUBTOTAL(9,$R$3:$R266)</f>
        <v>0</v>
      </c>
      <c r="X266" s="36">
        <f>SUBTOTAL(9,$S$3:$S266)</f>
        <v>0</v>
      </c>
      <c r="Y266" s="23">
        <f>SUBTOTAL(9,$L$3:$L266)</f>
        <v>0</v>
      </c>
      <c r="Z266" s="10">
        <f>SUBTOTAL(9,$M$3:$M266)</f>
        <v>0</v>
      </c>
    </row>
    <row r="267" spans="3:26" x14ac:dyDescent="0.25">
      <c r="C267" s="9" t="e">
        <f>LOOKUP($B267,Aircrafts!$A$2:$A$1048576,Aircrafts!$B$2:$B$1048576)</f>
        <v>#N/A</v>
      </c>
      <c r="D267" s="10" t="e">
        <f>LOOKUP($B267,Aircrafts!$A$2:$A$1048576,Aircrafts!$C$2:$C$1048576)</f>
        <v>#N/A</v>
      </c>
      <c r="F267" s="10" t="e">
        <f>LOOKUP($E267,Aerodromes!$A$2:$A$1048576,Aerodromes!$B$2:$B$1048576)</f>
        <v>#N/A</v>
      </c>
      <c r="H267" s="10" t="e">
        <f>LOOKUP($G267,Aerodromes!$A$2:$A$1048576,Aerodromes!$B$2:$B$1048576)</f>
        <v>#N/A</v>
      </c>
      <c r="K267" s="13">
        <f t="shared" si="4"/>
        <v>0</v>
      </c>
      <c r="V267" s="34">
        <f>SUBTOTAL(9,$K$3:$K267)</f>
        <v>0</v>
      </c>
      <c r="W267" s="35">
        <f>SUBTOTAL(9,$R$3:$R267)</f>
        <v>0</v>
      </c>
      <c r="X267" s="36">
        <f>SUBTOTAL(9,$S$3:$S267)</f>
        <v>0</v>
      </c>
      <c r="Y267" s="23">
        <f>SUBTOTAL(9,$L$3:$L267)</f>
        <v>0</v>
      </c>
      <c r="Z267" s="10">
        <f>SUBTOTAL(9,$M$3:$M267)</f>
        <v>0</v>
      </c>
    </row>
    <row r="268" spans="3:26" x14ac:dyDescent="0.25">
      <c r="C268" s="9" t="e">
        <f>LOOKUP($B268,Aircrafts!$A$2:$A$1048576,Aircrafts!$B$2:$B$1048576)</f>
        <v>#N/A</v>
      </c>
      <c r="D268" s="10" t="e">
        <f>LOOKUP($B268,Aircrafts!$A$2:$A$1048576,Aircrafts!$C$2:$C$1048576)</f>
        <v>#N/A</v>
      </c>
      <c r="F268" s="10" t="e">
        <f>LOOKUP($E268,Aerodromes!$A$2:$A$1048576,Aerodromes!$B$2:$B$1048576)</f>
        <v>#N/A</v>
      </c>
      <c r="H268" s="10" t="e">
        <f>LOOKUP($G268,Aerodromes!$A$2:$A$1048576,Aerodromes!$B$2:$B$1048576)</f>
        <v>#N/A</v>
      </c>
      <c r="K268" s="13">
        <f t="shared" si="4"/>
        <v>0</v>
      </c>
      <c r="V268" s="34">
        <f>SUBTOTAL(9,$K$3:$K268)</f>
        <v>0</v>
      </c>
      <c r="W268" s="35">
        <f>SUBTOTAL(9,$R$3:$R268)</f>
        <v>0</v>
      </c>
      <c r="X268" s="36">
        <f>SUBTOTAL(9,$S$3:$S268)</f>
        <v>0</v>
      </c>
      <c r="Y268" s="23">
        <f>SUBTOTAL(9,$L$3:$L268)</f>
        <v>0</v>
      </c>
      <c r="Z268" s="10">
        <f>SUBTOTAL(9,$M$3:$M268)</f>
        <v>0</v>
      </c>
    </row>
    <row r="269" spans="3:26" x14ac:dyDescent="0.25">
      <c r="C269" s="9" t="e">
        <f>LOOKUP($B269,Aircrafts!$A$2:$A$1048576,Aircrafts!$B$2:$B$1048576)</f>
        <v>#N/A</v>
      </c>
      <c r="D269" s="10" t="e">
        <f>LOOKUP($B269,Aircrafts!$A$2:$A$1048576,Aircrafts!$C$2:$C$1048576)</f>
        <v>#N/A</v>
      </c>
      <c r="F269" s="10" t="e">
        <f>LOOKUP($E269,Aerodromes!$A$2:$A$1048576,Aerodromes!$B$2:$B$1048576)</f>
        <v>#N/A</v>
      </c>
      <c r="H269" s="10" t="e">
        <f>LOOKUP($G269,Aerodromes!$A$2:$A$1048576,Aerodromes!$B$2:$B$1048576)</f>
        <v>#N/A</v>
      </c>
      <c r="K269" s="13">
        <f t="shared" si="4"/>
        <v>0</v>
      </c>
      <c r="V269" s="34">
        <f>SUBTOTAL(9,$K$3:$K269)</f>
        <v>0</v>
      </c>
      <c r="W269" s="35">
        <f>SUBTOTAL(9,$R$3:$R269)</f>
        <v>0</v>
      </c>
      <c r="X269" s="36">
        <f>SUBTOTAL(9,$S$3:$S269)</f>
        <v>0</v>
      </c>
      <c r="Y269" s="23">
        <f>SUBTOTAL(9,$L$3:$L269)</f>
        <v>0</v>
      </c>
      <c r="Z269" s="10">
        <f>SUBTOTAL(9,$M$3:$M269)</f>
        <v>0</v>
      </c>
    </row>
    <row r="270" spans="3:26" x14ac:dyDescent="0.25">
      <c r="C270" s="9" t="e">
        <f>LOOKUP($B270,Aircrafts!$A$2:$A$1048576,Aircrafts!$B$2:$B$1048576)</f>
        <v>#N/A</v>
      </c>
      <c r="D270" s="10" t="e">
        <f>LOOKUP($B270,Aircrafts!$A$2:$A$1048576,Aircrafts!$C$2:$C$1048576)</f>
        <v>#N/A</v>
      </c>
      <c r="F270" s="10" t="e">
        <f>LOOKUP($E270,Aerodromes!$A$2:$A$1048576,Aerodromes!$B$2:$B$1048576)</f>
        <v>#N/A</v>
      </c>
      <c r="H270" s="10" t="e">
        <f>LOOKUP($G270,Aerodromes!$A$2:$A$1048576,Aerodromes!$B$2:$B$1048576)</f>
        <v>#N/A</v>
      </c>
      <c r="K270" s="13">
        <f t="shared" si="4"/>
        <v>0</v>
      </c>
      <c r="V270" s="34">
        <f>SUBTOTAL(9,$K$3:$K270)</f>
        <v>0</v>
      </c>
      <c r="W270" s="35">
        <f>SUBTOTAL(9,$R$3:$R270)</f>
        <v>0</v>
      </c>
      <c r="X270" s="36">
        <f>SUBTOTAL(9,$S$3:$S270)</f>
        <v>0</v>
      </c>
      <c r="Y270" s="23">
        <f>SUBTOTAL(9,$L$3:$L270)</f>
        <v>0</v>
      </c>
      <c r="Z270" s="10">
        <f>SUBTOTAL(9,$M$3:$M270)</f>
        <v>0</v>
      </c>
    </row>
    <row r="271" spans="3:26" x14ac:dyDescent="0.25">
      <c r="C271" s="9" t="e">
        <f>LOOKUP($B271,Aircrafts!$A$2:$A$1048576,Aircrafts!$B$2:$B$1048576)</f>
        <v>#N/A</v>
      </c>
      <c r="D271" s="10" t="e">
        <f>LOOKUP($B271,Aircrafts!$A$2:$A$1048576,Aircrafts!$C$2:$C$1048576)</f>
        <v>#N/A</v>
      </c>
      <c r="F271" s="10" t="e">
        <f>LOOKUP($E271,Aerodromes!$A$2:$A$1048576,Aerodromes!$B$2:$B$1048576)</f>
        <v>#N/A</v>
      </c>
      <c r="H271" s="10" t="e">
        <f>LOOKUP($G271,Aerodromes!$A$2:$A$1048576,Aerodromes!$B$2:$B$1048576)</f>
        <v>#N/A</v>
      </c>
      <c r="K271" s="13">
        <f t="shared" si="4"/>
        <v>0</v>
      </c>
      <c r="V271" s="34">
        <f>SUBTOTAL(9,$K$3:$K271)</f>
        <v>0</v>
      </c>
      <c r="W271" s="35">
        <f>SUBTOTAL(9,$R$3:$R271)</f>
        <v>0</v>
      </c>
      <c r="X271" s="36">
        <f>SUBTOTAL(9,$S$3:$S271)</f>
        <v>0</v>
      </c>
      <c r="Y271" s="23">
        <f>SUBTOTAL(9,$L$3:$L271)</f>
        <v>0</v>
      </c>
      <c r="Z271" s="10">
        <f>SUBTOTAL(9,$M$3:$M271)</f>
        <v>0</v>
      </c>
    </row>
    <row r="272" spans="3:26" x14ac:dyDescent="0.25">
      <c r="C272" s="9" t="e">
        <f>LOOKUP($B272,Aircrafts!$A$2:$A$1048576,Aircrafts!$B$2:$B$1048576)</f>
        <v>#N/A</v>
      </c>
      <c r="D272" s="10" t="e">
        <f>LOOKUP($B272,Aircrafts!$A$2:$A$1048576,Aircrafts!$C$2:$C$1048576)</f>
        <v>#N/A</v>
      </c>
      <c r="F272" s="10" t="e">
        <f>LOOKUP($E272,Aerodromes!$A$2:$A$1048576,Aerodromes!$B$2:$B$1048576)</f>
        <v>#N/A</v>
      </c>
      <c r="H272" s="10" t="e">
        <f>LOOKUP($G272,Aerodromes!$A$2:$A$1048576,Aerodromes!$B$2:$B$1048576)</f>
        <v>#N/A</v>
      </c>
      <c r="K272" s="13">
        <f t="shared" si="4"/>
        <v>0</v>
      </c>
      <c r="V272" s="34">
        <f>SUBTOTAL(9,$K$3:$K272)</f>
        <v>0</v>
      </c>
      <c r="W272" s="35">
        <f>SUBTOTAL(9,$R$3:$R272)</f>
        <v>0</v>
      </c>
      <c r="X272" s="36">
        <f>SUBTOTAL(9,$S$3:$S272)</f>
        <v>0</v>
      </c>
      <c r="Y272" s="23">
        <f>SUBTOTAL(9,$L$3:$L272)</f>
        <v>0</v>
      </c>
      <c r="Z272" s="10">
        <f>SUBTOTAL(9,$M$3:$M272)</f>
        <v>0</v>
      </c>
    </row>
    <row r="273" spans="3:26" x14ac:dyDescent="0.25">
      <c r="C273" s="9" t="e">
        <f>LOOKUP($B273,Aircrafts!$A$2:$A$1048576,Aircrafts!$B$2:$B$1048576)</f>
        <v>#N/A</v>
      </c>
      <c r="D273" s="10" t="e">
        <f>LOOKUP($B273,Aircrafts!$A$2:$A$1048576,Aircrafts!$C$2:$C$1048576)</f>
        <v>#N/A</v>
      </c>
      <c r="F273" s="10" t="e">
        <f>LOOKUP($E273,Aerodromes!$A$2:$A$1048576,Aerodromes!$B$2:$B$1048576)</f>
        <v>#N/A</v>
      </c>
      <c r="H273" s="10" t="e">
        <f>LOOKUP($G273,Aerodromes!$A$2:$A$1048576,Aerodromes!$B$2:$B$1048576)</f>
        <v>#N/A</v>
      </c>
      <c r="K273" s="13">
        <f t="shared" si="4"/>
        <v>0</v>
      </c>
      <c r="V273" s="34">
        <f>SUBTOTAL(9,$K$3:$K273)</f>
        <v>0</v>
      </c>
      <c r="W273" s="35">
        <f>SUBTOTAL(9,$R$3:$R273)</f>
        <v>0</v>
      </c>
      <c r="X273" s="36">
        <f>SUBTOTAL(9,$S$3:$S273)</f>
        <v>0</v>
      </c>
      <c r="Y273" s="23">
        <f>SUBTOTAL(9,$L$3:$L273)</f>
        <v>0</v>
      </c>
      <c r="Z273" s="10">
        <f>SUBTOTAL(9,$M$3:$M273)</f>
        <v>0</v>
      </c>
    </row>
    <row r="274" spans="3:26" x14ac:dyDescent="0.25">
      <c r="C274" s="9" t="e">
        <f>LOOKUP($B274,Aircrafts!$A$2:$A$1048576,Aircrafts!$B$2:$B$1048576)</f>
        <v>#N/A</v>
      </c>
      <c r="D274" s="10" t="e">
        <f>LOOKUP($B274,Aircrafts!$A$2:$A$1048576,Aircrafts!$C$2:$C$1048576)</f>
        <v>#N/A</v>
      </c>
      <c r="F274" s="10" t="e">
        <f>LOOKUP($E274,Aerodromes!$A$2:$A$1048576,Aerodromes!$B$2:$B$1048576)</f>
        <v>#N/A</v>
      </c>
      <c r="H274" s="10" t="e">
        <f>LOOKUP($G274,Aerodromes!$A$2:$A$1048576,Aerodromes!$B$2:$B$1048576)</f>
        <v>#N/A</v>
      </c>
      <c r="K274" s="13">
        <f t="shared" si="4"/>
        <v>0</v>
      </c>
      <c r="V274" s="34">
        <f>SUBTOTAL(9,$K$3:$K274)</f>
        <v>0</v>
      </c>
      <c r="W274" s="35">
        <f>SUBTOTAL(9,$R$3:$R274)</f>
        <v>0</v>
      </c>
      <c r="X274" s="36">
        <f>SUBTOTAL(9,$S$3:$S274)</f>
        <v>0</v>
      </c>
      <c r="Y274" s="23">
        <f>SUBTOTAL(9,$L$3:$L274)</f>
        <v>0</v>
      </c>
      <c r="Z274" s="10">
        <f>SUBTOTAL(9,$M$3:$M274)</f>
        <v>0</v>
      </c>
    </row>
    <row r="275" spans="3:26" x14ac:dyDescent="0.25">
      <c r="C275" s="9" t="e">
        <f>LOOKUP($B275,Aircrafts!$A$2:$A$1048576,Aircrafts!$B$2:$B$1048576)</f>
        <v>#N/A</v>
      </c>
      <c r="D275" s="10" t="e">
        <f>LOOKUP($B275,Aircrafts!$A$2:$A$1048576,Aircrafts!$C$2:$C$1048576)</f>
        <v>#N/A</v>
      </c>
      <c r="F275" s="10" t="e">
        <f>LOOKUP($E275,Aerodromes!$A$2:$A$1048576,Aerodromes!$B$2:$B$1048576)</f>
        <v>#N/A</v>
      </c>
      <c r="H275" s="10" t="e">
        <f>LOOKUP($G275,Aerodromes!$A$2:$A$1048576,Aerodromes!$B$2:$B$1048576)</f>
        <v>#N/A</v>
      </c>
      <c r="K275" s="13">
        <f t="shared" si="4"/>
        <v>0</v>
      </c>
      <c r="V275" s="34">
        <f>SUBTOTAL(9,$K$3:$K275)</f>
        <v>0</v>
      </c>
      <c r="W275" s="35">
        <f>SUBTOTAL(9,$R$3:$R275)</f>
        <v>0</v>
      </c>
      <c r="X275" s="36">
        <f>SUBTOTAL(9,$S$3:$S275)</f>
        <v>0</v>
      </c>
      <c r="Y275" s="23">
        <f>SUBTOTAL(9,$L$3:$L275)</f>
        <v>0</v>
      </c>
      <c r="Z275" s="10">
        <f>SUBTOTAL(9,$M$3:$M275)</f>
        <v>0</v>
      </c>
    </row>
    <row r="276" spans="3:26" x14ac:dyDescent="0.25">
      <c r="C276" s="9" t="e">
        <f>LOOKUP($B276,Aircrafts!$A$2:$A$1048576,Aircrafts!$B$2:$B$1048576)</f>
        <v>#N/A</v>
      </c>
      <c r="D276" s="10" t="e">
        <f>LOOKUP($B276,Aircrafts!$A$2:$A$1048576,Aircrafts!$C$2:$C$1048576)</f>
        <v>#N/A</v>
      </c>
      <c r="F276" s="10" t="e">
        <f>LOOKUP($E276,Aerodromes!$A$2:$A$1048576,Aerodromes!$B$2:$B$1048576)</f>
        <v>#N/A</v>
      </c>
      <c r="H276" s="10" t="e">
        <f>LOOKUP($G276,Aerodromes!$A$2:$A$1048576,Aerodromes!$B$2:$B$1048576)</f>
        <v>#N/A</v>
      </c>
      <c r="K276" s="13">
        <f t="shared" si="4"/>
        <v>0</v>
      </c>
      <c r="V276" s="34">
        <f>SUBTOTAL(9,$K$3:$K276)</f>
        <v>0</v>
      </c>
      <c r="W276" s="35">
        <f>SUBTOTAL(9,$R$3:$R276)</f>
        <v>0</v>
      </c>
      <c r="X276" s="36">
        <f>SUBTOTAL(9,$S$3:$S276)</f>
        <v>0</v>
      </c>
      <c r="Y276" s="23">
        <f>SUBTOTAL(9,$L$3:$L276)</f>
        <v>0</v>
      </c>
      <c r="Z276" s="10">
        <f>SUBTOTAL(9,$M$3:$M276)</f>
        <v>0</v>
      </c>
    </row>
    <row r="277" spans="3:26" x14ac:dyDescent="0.25">
      <c r="C277" s="9" t="e">
        <f>LOOKUP($B277,Aircrafts!$A$2:$A$1048576,Aircrafts!$B$2:$B$1048576)</f>
        <v>#N/A</v>
      </c>
      <c r="D277" s="10" t="e">
        <f>LOOKUP($B277,Aircrafts!$A$2:$A$1048576,Aircrafts!$C$2:$C$1048576)</f>
        <v>#N/A</v>
      </c>
      <c r="F277" s="10" t="e">
        <f>LOOKUP($E277,Aerodromes!$A$2:$A$1048576,Aerodromes!$B$2:$B$1048576)</f>
        <v>#N/A</v>
      </c>
      <c r="H277" s="10" t="e">
        <f>LOOKUP($G277,Aerodromes!$A$2:$A$1048576,Aerodromes!$B$2:$B$1048576)</f>
        <v>#N/A</v>
      </c>
      <c r="K277" s="13">
        <f t="shared" si="4"/>
        <v>0</v>
      </c>
      <c r="V277" s="34">
        <f>SUBTOTAL(9,$K$3:$K277)</f>
        <v>0</v>
      </c>
      <c r="W277" s="35">
        <f>SUBTOTAL(9,$R$3:$R277)</f>
        <v>0</v>
      </c>
      <c r="X277" s="36">
        <f>SUBTOTAL(9,$S$3:$S277)</f>
        <v>0</v>
      </c>
      <c r="Y277" s="23">
        <f>SUBTOTAL(9,$L$3:$L277)</f>
        <v>0</v>
      </c>
      <c r="Z277" s="10">
        <f>SUBTOTAL(9,$M$3:$M277)</f>
        <v>0</v>
      </c>
    </row>
    <row r="278" spans="3:26" x14ac:dyDescent="0.25">
      <c r="C278" s="9" t="e">
        <f>LOOKUP($B278,Aircrafts!$A$2:$A$1048576,Aircrafts!$B$2:$B$1048576)</f>
        <v>#N/A</v>
      </c>
      <c r="D278" s="10" t="e">
        <f>LOOKUP($B278,Aircrafts!$A$2:$A$1048576,Aircrafts!$C$2:$C$1048576)</f>
        <v>#N/A</v>
      </c>
      <c r="F278" s="10" t="e">
        <f>LOOKUP($E278,Aerodromes!$A$2:$A$1048576,Aerodromes!$B$2:$B$1048576)</f>
        <v>#N/A</v>
      </c>
      <c r="H278" s="10" t="e">
        <f>LOOKUP($G278,Aerodromes!$A$2:$A$1048576,Aerodromes!$B$2:$B$1048576)</f>
        <v>#N/A</v>
      </c>
      <c r="K278" s="13">
        <f t="shared" si="4"/>
        <v>0</v>
      </c>
      <c r="V278" s="34">
        <f>SUBTOTAL(9,$K$3:$K278)</f>
        <v>0</v>
      </c>
      <c r="W278" s="35">
        <f>SUBTOTAL(9,$R$3:$R278)</f>
        <v>0</v>
      </c>
      <c r="X278" s="36">
        <f>SUBTOTAL(9,$S$3:$S278)</f>
        <v>0</v>
      </c>
      <c r="Y278" s="23">
        <f>SUBTOTAL(9,$L$3:$L278)</f>
        <v>0</v>
      </c>
      <c r="Z278" s="10">
        <f>SUBTOTAL(9,$M$3:$M278)</f>
        <v>0</v>
      </c>
    </row>
    <row r="279" spans="3:26" x14ac:dyDescent="0.25">
      <c r="C279" s="9" t="e">
        <f>LOOKUP($B279,Aircrafts!$A$2:$A$1048576,Aircrafts!$B$2:$B$1048576)</f>
        <v>#N/A</v>
      </c>
      <c r="D279" s="10" t="e">
        <f>LOOKUP($B279,Aircrafts!$A$2:$A$1048576,Aircrafts!$C$2:$C$1048576)</f>
        <v>#N/A</v>
      </c>
      <c r="F279" s="10" t="e">
        <f>LOOKUP($E279,Aerodromes!$A$2:$A$1048576,Aerodromes!$B$2:$B$1048576)</f>
        <v>#N/A</v>
      </c>
      <c r="H279" s="10" t="e">
        <f>LOOKUP($G279,Aerodromes!$A$2:$A$1048576,Aerodromes!$B$2:$B$1048576)</f>
        <v>#N/A</v>
      </c>
      <c r="K279" s="13">
        <f t="shared" si="4"/>
        <v>0</v>
      </c>
      <c r="V279" s="34">
        <f>SUBTOTAL(9,$K$3:$K279)</f>
        <v>0</v>
      </c>
      <c r="W279" s="35">
        <f>SUBTOTAL(9,$R$3:$R279)</f>
        <v>0</v>
      </c>
      <c r="X279" s="36">
        <f>SUBTOTAL(9,$S$3:$S279)</f>
        <v>0</v>
      </c>
      <c r="Y279" s="23">
        <f>SUBTOTAL(9,$L$3:$L279)</f>
        <v>0</v>
      </c>
      <c r="Z279" s="10">
        <f>SUBTOTAL(9,$M$3:$M279)</f>
        <v>0</v>
      </c>
    </row>
    <row r="280" spans="3:26" x14ac:dyDescent="0.25">
      <c r="C280" s="9" t="e">
        <f>LOOKUP($B280,Aircrafts!$A$2:$A$1048576,Aircrafts!$B$2:$B$1048576)</f>
        <v>#N/A</v>
      </c>
      <c r="D280" s="10" t="e">
        <f>LOOKUP($B280,Aircrafts!$A$2:$A$1048576,Aircrafts!$C$2:$C$1048576)</f>
        <v>#N/A</v>
      </c>
      <c r="F280" s="10" t="e">
        <f>LOOKUP($E280,Aerodromes!$A$2:$A$1048576,Aerodromes!$B$2:$B$1048576)</f>
        <v>#N/A</v>
      </c>
      <c r="H280" s="10" t="e">
        <f>LOOKUP($G280,Aerodromes!$A$2:$A$1048576,Aerodromes!$B$2:$B$1048576)</f>
        <v>#N/A</v>
      </c>
      <c r="K280" s="13">
        <f t="shared" si="4"/>
        <v>0</v>
      </c>
      <c r="V280" s="34">
        <f>SUBTOTAL(9,$K$3:$K280)</f>
        <v>0</v>
      </c>
      <c r="W280" s="35">
        <f>SUBTOTAL(9,$R$3:$R280)</f>
        <v>0</v>
      </c>
      <c r="X280" s="36">
        <f>SUBTOTAL(9,$S$3:$S280)</f>
        <v>0</v>
      </c>
      <c r="Y280" s="23">
        <f>SUBTOTAL(9,$L$3:$L280)</f>
        <v>0</v>
      </c>
      <c r="Z280" s="10">
        <f>SUBTOTAL(9,$M$3:$M280)</f>
        <v>0</v>
      </c>
    </row>
    <row r="281" spans="3:26" x14ac:dyDescent="0.25">
      <c r="C281" s="9" t="e">
        <f>LOOKUP($B281,Aircrafts!$A$2:$A$1048576,Aircrafts!$B$2:$B$1048576)</f>
        <v>#N/A</v>
      </c>
      <c r="D281" s="10" t="e">
        <f>LOOKUP($B281,Aircrafts!$A$2:$A$1048576,Aircrafts!$C$2:$C$1048576)</f>
        <v>#N/A</v>
      </c>
      <c r="F281" s="10" t="e">
        <f>LOOKUP($E281,Aerodromes!$A$2:$A$1048576,Aerodromes!$B$2:$B$1048576)</f>
        <v>#N/A</v>
      </c>
      <c r="H281" s="10" t="e">
        <f>LOOKUP($G281,Aerodromes!$A$2:$A$1048576,Aerodromes!$B$2:$B$1048576)</f>
        <v>#N/A</v>
      </c>
      <c r="K281" s="13">
        <f t="shared" si="4"/>
        <v>0</v>
      </c>
      <c r="V281" s="34">
        <f>SUBTOTAL(9,$K$3:$K281)</f>
        <v>0</v>
      </c>
      <c r="W281" s="35">
        <f>SUBTOTAL(9,$R$3:$R281)</f>
        <v>0</v>
      </c>
      <c r="X281" s="36">
        <f>SUBTOTAL(9,$S$3:$S281)</f>
        <v>0</v>
      </c>
      <c r="Y281" s="23">
        <f>SUBTOTAL(9,$L$3:$L281)</f>
        <v>0</v>
      </c>
      <c r="Z281" s="10">
        <f>SUBTOTAL(9,$M$3:$M281)</f>
        <v>0</v>
      </c>
    </row>
    <row r="282" spans="3:26" x14ac:dyDescent="0.25">
      <c r="C282" s="9" t="e">
        <f>LOOKUP($B282,Aircrafts!$A$2:$A$1048576,Aircrafts!$B$2:$B$1048576)</f>
        <v>#N/A</v>
      </c>
      <c r="D282" s="10" t="e">
        <f>LOOKUP($B282,Aircrafts!$A$2:$A$1048576,Aircrafts!$C$2:$C$1048576)</f>
        <v>#N/A</v>
      </c>
      <c r="F282" s="10" t="e">
        <f>LOOKUP($E282,Aerodromes!$A$2:$A$1048576,Aerodromes!$B$2:$B$1048576)</f>
        <v>#N/A</v>
      </c>
      <c r="H282" s="10" t="e">
        <f>LOOKUP($G282,Aerodromes!$A$2:$A$1048576,Aerodromes!$B$2:$B$1048576)</f>
        <v>#N/A</v>
      </c>
      <c r="K282" s="13">
        <f t="shared" si="4"/>
        <v>0</v>
      </c>
      <c r="V282" s="34">
        <f>SUBTOTAL(9,$K$3:$K282)</f>
        <v>0</v>
      </c>
      <c r="W282" s="35">
        <f>SUBTOTAL(9,$R$3:$R282)</f>
        <v>0</v>
      </c>
      <c r="X282" s="36">
        <f>SUBTOTAL(9,$S$3:$S282)</f>
        <v>0</v>
      </c>
      <c r="Y282" s="23">
        <f>SUBTOTAL(9,$L$3:$L282)</f>
        <v>0</v>
      </c>
      <c r="Z282" s="10">
        <f>SUBTOTAL(9,$M$3:$M282)</f>
        <v>0</v>
      </c>
    </row>
    <row r="283" spans="3:26" x14ac:dyDescent="0.25">
      <c r="C283" s="9" t="e">
        <f>LOOKUP($B283,Aircrafts!$A$2:$A$1048576,Aircrafts!$B$2:$B$1048576)</f>
        <v>#N/A</v>
      </c>
      <c r="D283" s="10" t="e">
        <f>LOOKUP($B283,Aircrafts!$A$2:$A$1048576,Aircrafts!$C$2:$C$1048576)</f>
        <v>#N/A</v>
      </c>
      <c r="F283" s="10" t="e">
        <f>LOOKUP($E283,Aerodromes!$A$2:$A$1048576,Aerodromes!$B$2:$B$1048576)</f>
        <v>#N/A</v>
      </c>
      <c r="H283" s="10" t="e">
        <f>LOOKUP($G283,Aerodromes!$A$2:$A$1048576,Aerodromes!$B$2:$B$1048576)</f>
        <v>#N/A</v>
      </c>
      <c r="K283" s="13">
        <f t="shared" si="4"/>
        <v>0</v>
      </c>
      <c r="V283" s="34">
        <f>SUBTOTAL(9,$K$3:$K283)</f>
        <v>0</v>
      </c>
      <c r="W283" s="35">
        <f>SUBTOTAL(9,$R$3:$R283)</f>
        <v>0</v>
      </c>
      <c r="X283" s="36">
        <f>SUBTOTAL(9,$S$3:$S283)</f>
        <v>0</v>
      </c>
      <c r="Y283" s="23">
        <f>SUBTOTAL(9,$L$3:$L283)</f>
        <v>0</v>
      </c>
      <c r="Z283" s="10">
        <f>SUBTOTAL(9,$M$3:$M283)</f>
        <v>0</v>
      </c>
    </row>
    <row r="284" spans="3:26" x14ac:dyDescent="0.25">
      <c r="C284" s="9" t="e">
        <f>LOOKUP($B284,Aircrafts!$A$2:$A$1048576,Aircrafts!$B$2:$B$1048576)</f>
        <v>#N/A</v>
      </c>
      <c r="D284" s="10" t="e">
        <f>LOOKUP($B284,Aircrafts!$A$2:$A$1048576,Aircrafts!$C$2:$C$1048576)</f>
        <v>#N/A</v>
      </c>
      <c r="F284" s="10" t="e">
        <f>LOOKUP($E284,Aerodromes!$A$2:$A$1048576,Aerodromes!$B$2:$B$1048576)</f>
        <v>#N/A</v>
      </c>
      <c r="H284" s="10" t="e">
        <f>LOOKUP($G284,Aerodromes!$A$2:$A$1048576,Aerodromes!$B$2:$B$1048576)</f>
        <v>#N/A</v>
      </c>
      <c r="K284" s="13">
        <f t="shared" si="4"/>
        <v>0</v>
      </c>
      <c r="V284" s="34">
        <f>SUBTOTAL(9,$K$3:$K284)</f>
        <v>0</v>
      </c>
      <c r="W284" s="35">
        <f>SUBTOTAL(9,$R$3:$R284)</f>
        <v>0</v>
      </c>
      <c r="X284" s="36">
        <f>SUBTOTAL(9,$S$3:$S284)</f>
        <v>0</v>
      </c>
      <c r="Y284" s="23">
        <f>SUBTOTAL(9,$L$3:$L284)</f>
        <v>0</v>
      </c>
      <c r="Z284" s="10">
        <f>SUBTOTAL(9,$M$3:$M284)</f>
        <v>0</v>
      </c>
    </row>
    <row r="285" spans="3:26" x14ac:dyDescent="0.25">
      <c r="C285" s="9" t="e">
        <f>LOOKUP($B285,Aircrafts!$A$2:$A$1048576,Aircrafts!$B$2:$B$1048576)</f>
        <v>#N/A</v>
      </c>
      <c r="D285" s="10" t="e">
        <f>LOOKUP($B285,Aircrafts!$A$2:$A$1048576,Aircrafts!$C$2:$C$1048576)</f>
        <v>#N/A</v>
      </c>
      <c r="F285" s="10" t="e">
        <f>LOOKUP($E285,Aerodromes!$A$2:$A$1048576,Aerodromes!$B$2:$B$1048576)</f>
        <v>#N/A</v>
      </c>
      <c r="H285" s="10" t="e">
        <f>LOOKUP($G285,Aerodromes!$A$2:$A$1048576,Aerodromes!$B$2:$B$1048576)</f>
        <v>#N/A</v>
      </c>
      <c r="K285" s="13">
        <f t="shared" si="4"/>
        <v>0</v>
      </c>
      <c r="V285" s="34">
        <f>SUBTOTAL(9,$K$3:$K285)</f>
        <v>0</v>
      </c>
      <c r="W285" s="35">
        <f>SUBTOTAL(9,$R$3:$R285)</f>
        <v>0</v>
      </c>
      <c r="X285" s="36">
        <f>SUBTOTAL(9,$S$3:$S285)</f>
        <v>0</v>
      </c>
      <c r="Y285" s="23">
        <f>SUBTOTAL(9,$L$3:$L285)</f>
        <v>0</v>
      </c>
      <c r="Z285" s="10">
        <f>SUBTOTAL(9,$M$3:$M285)</f>
        <v>0</v>
      </c>
    </row>
    <row r="286" spans="3:26" x14ac:dyDescent="0.25">
      <c r="C286" s="9" t="e">
        <f>LOOKUP($B286,Aircrafts!$A$2:$A$1048576,Aircrafts!$B$2:$B$1048576)</f>
        <v>#N/A</v>
      </c>
      <c r="D286" s="10" t="e">
        <f>LOOKUP($B286,Aircrafts!$A$2:$A$1048576,Aircrafts!$C$2:$C$1048576)</f>
        <v>#N/A</v>
      </c>
      <c r="F286" s="10" t="e">
        <f>LOOKUP($E286,Aerodromes!$A$2:$A$1048576,Aerodromes!$B$2:$B$1048576)</f>
        <v>#N/A</v>
      </c>
      <c r="H286" s="10" t="e">
        <f>LOOKUP($G286,Aerodromes!$A$2:$A$1048576,Aerodromes!$B$2:$B$1048576)</f>
        <v>#N/A</v>
      </c>
      <c r="K286" s="13">
        <f t="shared" si="4"/>
        <v>0</v>
      </c>
      <c r="V286" s="34">
        <f>SUBTOTAL(9,$K$3:$K286)</f>
        <v>0</v>
      </c>
      <c r="W286" s="35">
        <f>SUBTOTAL(9,$R$3:$R286)</f>
        <v>0</v>
      </c>
      <c r="X286" s="36">
        <f>SUBTOTAL(9,$S$3:$S286)</f>
        <v>0</v>
      </c>
      <c r="Y286" s="23">
        <f>SUBTOTAL(9,$L$3:$L286)</f>
        <v>0</v>
      </c>
      <c r="Z286" s="10">
        <f>SUBTOTAL(9,$M$3:$M286)</f>
        <v>0</v>
      </c>
    </row>
    <row r="287" spans="3:26" x14ac:dyDescent="0.25">
      <c r="C287" s="9" t="e">
        <f>LOOKUP($B287,Aircrafts!$A$2:$A$1048576,Aircrafts!$B$2:$B$1048576)</f>
        <v>#N/A</v>
      </c>
      <c r="D287" s="10" t="e">
        <f>LOOKUP($B287,Aircrafts!$A$2:$A$1048576,Aircrafts!$C$2:$C$1048576)</f>
        <v>#N/A</v>
      </c>
      <c r="F287" s="10" t="e">
        <f>LOOKUP($E287,Aerodromes!$A$2:$A$1048576,Aerodromes!$B$2:$B$1048576)</f>
        <v>#N/A</v>
      </c>
      <c r="H287" s="10" t="e">
        <f>LOOKUP($G287,Aerodromes!$A$2:$A$1048576,Aerodromes!$B$2:$B$1048576)</f>
        <v>#N/A</v>
      </c>
      <c r="K287" s="13">
        <f t="shared" si="4"/>
        <v>0</v>
      </c>
      <c r="V287" s="34">
        <f>SUBTOTAL(9,$K$3:$K287)</f>
        <v>0</v>
      </c>
      <c r="W287" s="35">
        <f>SUBTOTAL(9,$R$3:$R287)</f>
        <v>0</v>
      </c>
      <c r="X287" s="36">
        <f>SUBTOTAL(9,$S$3:$S287)</f>
        <v>0</v>
      </c>
      <c r="Y287" s="23">
        <f>SUBTOTAL(9,$L$3:$L287)</f>
        <v>0</v>
      </c>
      <c r="Z287" s="10">
        <f>SUBTOTAL(9,$M$3:$M287)</f>
        <v>0</v>
      </c>
    </row>
    <row r="288" spans="3:26" x14ac:dyDescent="0.25">
      <c r="C288" s="9" t="e">
        <f>LOOKUP($B288,Aircrafts!$A$2:$A$1048576,Aircrafts!$B$2:$B$1048576)</f>
        <v>#N/A</v>
      </c>
      <c r="D288" s="10" t="e">
        <f>LOOKUP($B288,Aircrafts!$A$2:$A$1048576,Aircrafts!$C$2:$C$1048576)</f>
        <v>#N/A</v>
      </c>
      <c r="F288" s="10" t="e">
        <f>LOOKUP($E288,Aerodromes!$A$2:$A$1048576,Aerodromes!$B$2:$B$1048576)</f>
        <v>#N/A</v>
      </c>
      <c r="H288" s="10" t="e">
        <f>LOOKUP($G288,Aerodromes!$A$2:$A$1048576,Aerodromes!$B$2:$B$1048576)</f>
        <v>#N/A</v>
      </c>
      <c r="K288" s="13">
        <f t="shared" si="4"/>
        <v>0</v>
      </c>
      <c r="V288" s="34">
        <f>SUBTOTAL(9,$K$3:$K288)</f>
        <v>0</v>
      </c>
      <c r="W288" s="35">
        <f>SUBTOTAL(9,$R$3:$R288)</f>
        <v>0</v>
      </c>
      <c r="X288" s="36">
        <f>SUBTOTAL(9,$S$3:$S288)</f>
        <v>0</v>
      </c>
      <c r="Y288" s="23">
        <f>SUBTOTAL(9,$L$3:$L288)</f>
        <v>0</v>
      </c>
      <c r="Z288" s="10">
        <f>SUBTOTAL(9,$M$3:$M288)</f>
        <v>0</v>
      </c>
    </row>
    <row r="289" spans="3:26" x14ac:dyDescent="0.25">
      <c r="C289" s="9" t="e">
        <f>LOOKUP($B289,Aircrafts!$A$2:$A$1048576,Aircrafts!$B$2:$B$1048576)</f>
        <v>#N/A</v>
      </c>
      <c r="D289" s="10" t="e">
        <f>LOOKUP($B289,Aircrafts!$A$2:$A$1048576,Aircrafts!$C$2:$C$1048576)</f>
        <v>#N/A</v>
      </c>
      <c r="F289" s="10" t="e">
        <f>LOOKUP($E289,Aerodromes!$A$2:$A$1048576,Aerodromes!$B$2:$B$1048576)</f>
        <v>#N/A</v>
      </c>
      <c r="H289" s="10" t="e">
        <f>LOOKUP($G289,Aerodromes!$A$2:$A$1048576,Aerodromes!$B$2:$B$1048576)</f>
        <v>#N/A</v>
      </c>
      <c r="K289" s="13">
        <f t="shared" si="4"/>
        <v>0</v>
      </c>
      <c r="V289" s="34">
        <f>SUBTOTAL(9,$K$3:$K289)</f>
        <v>0</v>
      </c>
      <c r="W289" s="35">
        <f>SUBTOTAL(9,$R$3:$R289)</f>
        <v>0</v>
      </c>
      <c r="X289" s="36">
        <f>SUBTOTAL(9,$S$3:$S289)</f>
        <v>0</v>
      </c>
      <c r="Y289" s="23">
        <f>SUBTOTAL(9,$L$3:$L289)</f>
        <v>0</v>
      </c>
      <c r="Z289" s="10">
        <f>SUBTOTAL(9,$M$3:$M289)</f>
        <v>0</v>
      </c>
    </row>
    <row r="290" spans="3:26" x14ac:dyDescent="0.25">
      <c r="C290" s="9" t="e">
        <f>LOOKUP($B290,Aircrafts!$A$2:$A$1048576,Aircrafts!$B$2:$B$1048576)</f>
        <v>#N/A</v>
      </c>
      <c r="D290" s="10" t="e">
        <f>LOOKUP($B290,Aircrafts!$A$2:$A$1048576,Aircrafts!$C$2:$C$1048576)</f>
        <v>#N/A</v>
      </c>
      <c r="F290" s="10" t="e">
        <f>LOOKUP($E290,Aerodromes!$A$2:$A$1048576,Aerodromes!$B$2:$B$1048576)</f>
        <v>#N/A</v>
      </c>
      <c r="H290" s="10" t="e">
        <f>LOOKUP($G290,Aerodromes!$A$2:$A$1048576,Aerodromes!$B$2:$B$1048576)</f>
        <v>#N/A</v>
      </c>
      <c r="K290" s="13">
        <f t="shared" si="4"/>
        <v>0</v>
      </c>
      <c r="V290" s="34">
        <f>SUBTOTAL(9,$K$3:$K290)</f>
        <v>0</v>
      </c>
      <c r="W290" s="35">
        <f>SUBTOTAL(9,$R$3:$R290)</f>
        <v>0</v>
      </c>
      <c r="X290" s="36">
        <f>SUBTOTAL(9,$S$3:$S290)</f>
        <v>0</v>
      </c>
      <c r="Y290" s="23">
        <f>SUBTOTAL(9,$L$3:$L290)</f>
        <v>0</v>
      </c>
      <c r="Z290" s="10">
        <f>SUBTOTAL(9,$M$3:$M290)</f>
        <v>0</v>
      </c>
    </row>
    <row r="291" spans="3:26" x14ac:dyDescent="0.25">
      <c r="C291" s="9" t="e">
        <f>LOOKUP($B291,Aircrafts!$A$2:$A$1048576,Aircrafts!$B$2:$B$1048576)</f>
        <v>#N/A</v>
      </c>
      <c r="D291" s="10" t="e">
        <f>LOOKUP($B291,Aircrafts!$A$2:$A$1048576,Aircrafts!$C$2:$C$1048576)</f>
        <v>#N/A</v>
      </c>
      <c r="F291" s="10" t="e">
        <f>LOOKUP($E291,Aerodromes!$A$2:$A$1048576,Aerodromes!$B$2:$B$1048576)</f>
        <v>#N/A</v>
      </c>
      <c r="H291" s="10" t="e">
        <f>LOOKUP($G291,Aerodromes!$A$2:$A$1048576,Aerodromes!$B$2:$B$1048576)</f>
        <v>#N/A</v>
      </c>
      <c r="K291" s="13">
        <f t="shared" si="4"/>
        <v>0</v>
      </c>
      <c r="V291" s="34">
        <f>SUBTOTAL(9,$K$3:$K291)</f>
        <v>0</v>
      </c>
      <c r="W291" s="35">
        <f>SUBTOTAL(9,$R$3:$R291)</f>
        <v>0</v>
      </c>
      <c r="X291" s="36">
        <f>SUBTOTAL(9,$S$3:$S291)</f>
        <v>0</v>
      </c>
      <c r="Y291" s="23">
        <f>SUBTOTAL(9,$L$3:$L291)</f>
        <v>0</v>
      </c>
      <c r="Z291" s="10">
        <f>SUBTOTAL(9,$M$3:$M291)</f>
        <v>0</v>
      </c>
    </row>
    <row r="292" spans="3:26" x14ac:dyDescent="0.25">
      <c r="C292" s="9" t="e">
        <f>LOOKUP($B292,Aircrafts!$A$2:$A$1048576,Aircrafts!$B$2:$B$1048576)</f>
        <v>#N/A</v>
      </c>
      <c r="D292" s="10" t="e">
        <f>LOOKUP($B292,Aircrafts!$A$2:$A$1048576,Aircrafts!$C$2:$C$1048576)</f>
        <v>#N/A</v>
      </c>
      <c r="F292" s="10" t="e">
        <f>LOOKUP($E292,Aerodromes!$A$2:$A$1048576,Aerodromes!$B$2:$B$1048576)</f>
        <v>#N/A</v>
      </c>
      <c r="H292" s="10" t="e">
        <f>LOOKUP($G292,Aerodromes!$A$2:$A$1048576,Aerodromes!$B$2:$B$1048576)</f>
        <v>#N/A</v>
      </c>
      <c r="K292" s="13">
        <f t="shared" si="4"/>
        <v>0</v>
      </c>
      <c r="V292" s="34">
        <f>SUBTOTAL(9,$K$3:$K292)</f>
        <v>0</v>
      </c>
      <c r="W292" s="35">
        <f>SUBTOTAL(9,$R$3:$R292)</f>
        <v>0</v>
      </c>
      <c r="X292" s="36">
        <f>SUBTOTAL(9,$S$3:$S292)</f>
        <v>0</v>
      </c>
      <c r="Y292" s="23">
        <f>SUBTOTAL(9,$L$3:$L292)</f>
        <v>0</v>
      </c>
      <c r="Z292" s="10">
        <f>SUBTOTAL(9,$M$3:$M292)</f>
        <v>0</v>
      </c>
    </row>
    <row r="293" spans="3:26" x14ac:dyDescent="0.25">
      <c r="C293" s="9" t="e">
        <f>LOOKUP($B293,Aircrafts!$A$2:$A$1048576,Aircrafts!$B$2:$B$1048576)</f>
        <v>#N/A</v>
      </c>
      <c r="D293" s="10" t="e">
        <f>LOOKUP($B293,Aircrafts!$A$2:$A$1048576,Aircrafts!$C$2:$C$1048576)</f>
        <v>#N/A</v>
      </c>
      <c r="F293" s="10" t="e">
        <f>LOOKUP($E293,Aerodromes!$A$2:$A$1048576,Aerodromes!$B$2:$B$1048576)</f>
        <v>#N/A</v>
      </c>
      <c r="H293" s="10" t="e">
        <f>LOOKUP($G293,Aerodromes!$A$2:$A$1048576,Aerodromes!$B$2:$B$1048576)</f>
        <v>#N/A</v>
      </c>
      <c r="K293" s="13">
        <f t="shared" si="4"/>
        <v>0</v>
      </c>
      <c r="V293" s="34">
        <f>SUBTOTAL(9,$K$3:$K293)</f>
        <v>0</v>
      </c>
      <c r="W293" s="35">
        <f>SUBTOTAL(9,$R$3:$R293)</f>
        <v>0</v>
      </c>
      <c r="X293" s="36">
        <f>SUBTOTAL(9,$S$3:$S293)</f>
        <v>0</v>
      </c>
      <c r="Y293" s="23">
        <f>SUBTOTAL(9,$L$3:$L293)</f>
        <v>0</v>
      </c>
      <c r="Z293" s="10">
        <f>SUBTOTAL(9,$M$3:$M293)</f>
        <v>0</v>
      </c>
    </row>
    <row r="294" spans="3:26" x14ac:dyDescent="0.25">
      <c r="C294" s="9" t="e">
        <f>LOOKUP($B294,Aircrafts!$A$2:$A$1048576,Aircrafts!$B$2:$B$1048576)</f>
        <v>#N/A</v>
      </c>
      <c r="D294" s="10" t="e">
        <f>LOOKUP($B294,Aircrafts!$A$2:$A$1048576,Aircrafts!$C$2:$C$1048576)</f>
        <v>#N/A</v>
      </c>
      <c r="F294" s="10" t="e">
        <f>LOOKUP($E294,Aerodromes!$A$2:$A$1048576,Aerodromes!$B$2:$B$1048576)</f>
        <v>#N/A</v>
      </c>
      <c r="H294" s="10" t="e">
        <f>LOOKUP($G294,Aerodromes!$A$2:$A$1048576,Aerodromes!$B$2:$B$1048576)</f>
        <v>#N/A</v>
      </c>
      <c r="K294" s="13">
        <f t="shared" si="4"/>
        <v>0</v>
      </c>
      <c r="V294" s="34">
        <f>SUBTOTAL(9,$K$3:$K294)</f>
        <v>0</v>
      </c>
      <c r="W294" s="35">
        <f>SUBTOTAL(9,$R$3:$R294)</f>
        <v>0</v>
      </c>
      <c r="X294" s="36">
        <f>SUBTOTAL(9,$S$3:$S294)</f>
        <v>0</v>
      </c>
      <c r="Y294" s="23">
        <f>SUBTOTAL(9,$L$3:$L294)</f>
        <v>0</v>
      </c>
      <c r="Z294" s="10">
        <f>SUBTOTAL(9,$M$3:$M294)</f>
        <v>0</v>
      </c>
    </row>
    <row r="295" spans="3:26" x14ac:dyDescent="0.25">
      <c r="C295" s="9" t="e">
        <f>LOOKUP($B295,Aircrafts!$A$2:$A$1048576,Aircrafts!$B$2:$B$1048576)</f>
        <v>#N/A</v>
      </c>
      <c r="D295" s="10" t="e">
        <f>LOOKUP($B295,Aircrafts!$A$2:$A$1048576,Aircrafts!$C$2:$C$1048576)</f>
        <v>#N/A</v>
      </c>
      <c r="F295" s="10" t="e">
        <f>LOOKUP($E295,Aerodromes!$A$2:$A$1048576,Aerodromes!$B$2:$B$1048576)</f>
        <v>#N/A</v>
      </c>
      <c r="H295" s="10" t="e">
        <f>LOOKUP($G295,Aerodromes!$A$2:$A$1048576,Aerodromes!$B$2:$B$1048576)</f>
        <v>#N/A</v>
      </c>
      <c r="K295" s="13">
        <f t="shared" si="4"/>
        <v>0</v>
      </c>
      <c r="V295" s="34">
        <f>SUBTOTAL(9,$K$3:$K295)</f>
        <v>0</v>
      </c>
      <c r="W295" s="35">
        <f>SUBTOTAL(9,$R$3:$R295)</f>
        <v>0</v>
      </c>
      <c r="X295" s="36">
        <f>SUBTOTAL(9,$S$3:$S295)</f>
        <v>0</v>
      </c>
      <c r="Y295" s="23">
        <f>SUBTOTAL(9,$L$3:$L295)</f>
        <v>0</v>
      </c>
      <c r="Z295" s="10">
        <f>SUBTOTAL(9,$M$3:$M295)</f>
        <v>0</v>
      </c>
    </row>
    <row r="296" spans="3:26" x14ac:dyDescent="0.25">
      <c r="C296" s="9" t="e">
        <f>LOOKUP($B296,Aircrafts!$A$2:$A$1048576,Aircrafts!$B$2:$B$1048576)</f>
        <v>#N/A</v>
      </c>
      <c r="D296" s="10" t="e">
        <f>LOOKUP($B296,Aircrafts!$A$2:$A$1048576,Aircrafts!$C$2:$C$1048576)</f>
        <v>#N/A</v>
      </c>
      <c r="F296" s="10" t="e">
        <f>LOOKUP($E296,Aerodromes!$A$2:$A$1048576,Aerodromes!$B$2:$B$1048576)</f>
        <v>#N/A</v>
      </c>
      <c r="H296" s="10" t="e">
        <f>LOOKUP($G296,Aerodromes!$A$2:$A$1048576,Aerodromes!$B$2:$B$1048576)</f>
        <v>#N/A</v>
      </c>
      <c r="K296" s="13">
        <f t="shared" si="4"/>
        <v>0</v>
      </c>
      <c r="V296" s="34">
        <f>SUBTOTAL(9,$K$3:$K296)</f>
        <v>0</v>
      </c>
      <c r="W296" s="35">
        <f>SUBTOTAL(9,$R$3:$R296)</f>
        <v>0</v>
      </c>
      <c r="X296" s="36">
        <f>SUBTOTAL(9,$S$3:$S296)</f>
        <v>0</v>
      </c>
      <c r="Y296" s="23">
        <f>SUBTOTAL(9,$L$3:$L296)</f>
        <v>0</v>
      </c>
      <c r="Z296" s="10">
        <f>SUBTOTAL(9,$M$3:$M296)</f>
        <v>0</v>
      </c>
    </row>
    <row r="297" spans="3:26" x14ac:dyDescent="0.25">
      <c r="C297" s="9" t="e">
        <f>LOOKUP($B297,Aircrafts!$A$2:$A$1048576,Aircrafts!$B$2:$B$1048576)</f>
        <v>#N/A</v>
      </c>
      <c r="D297" s="10" t="e">
        <f>LOOKUP($B297,Aircrafts!$A$2:$A$1048576,Aircrafts!$C$2:$C$1048576)</f>
        <v>#N/A</v>
      </c>
      <c r="F297" s="10" t="e">
        <f>LOOKUP($E297,Aerodromes!$A$2:$A$1048576,Aerodromes!$B$2:$B$1048576)</f>
        <v>#N/A</v>
      </c>
      <c r="H297" s="10" t="e">
        <f>LOOKUP($G297,Aerodromes!$A$2:$A$1048576,Aerodromes!$B$2:$B$1048576)</f>
        <v>#N/A</v>
      </c>
      <c r="K297" s="13">
        <f t="shared" si="4"/>
        <v>0</v>
      </c>
      <c r="V297" s="34">
        <f>SUBTOTAL(9,$K$3:$K297)</f>
        <v>0</v>
      </c>
      <c r="W297" s="35">
        <f>SUBTOTAL(9,$R$3:$R297)</f>
        <v>0</v>
      </c>
      <c r="X297" s="36">
        <f>SUBTOTAL(9,$S$3:$S297)</f>
        <v>0</v>
      </c>
      <c r="Y297" s="23">
        <f>SUBTOTAL(9,$L$3:$L297)</f>
        <v>0</v>
      </c>
      <c r="Z297" s="10">
        <f>SUBTOTAL(9,$M$3:$M297)</f>
        <v>0</v>
      </c>
    </row>
    <row r="298" spans="3:26" x14ac:dyDescent="0.25">
      <c r="C298" s="9" t="e">
        <f>LOOKUP($B298,Aircrafts!$A$2:$A$1048576,Aircrafts!$B$2:$B$1048576)</f>
        <v>#N/A</v>
      </c>
      <c r="D298" s="10" t="e">
        <f>LOOKUP($B298,Aircrafts!$A$2:$A$1048576,Aircrafts!$C$2:$C$1048576)</f>
        <v>#N/A</v>
      </c>
      <c r="F298" s="10" t="e">
        <f>LOOKUP($E298,Aerodromes!$A$2:$A$1048576,Aerodromes!$B$2:$B$1048576)</f>
        <v>#N/A</v>
      </c>
      <c r="H298" s="10" t="e">
        <f>LOOKUP($G298,Aerodromes!$A$2:$A$1048576,Aerodromes!$B$2:$B$1048576)</f>
        <v>#N/A</v>
      </c>
      <c r="K298" s="13">
        <f t="shared" si="4"/>
        <v>0</v>
      </c>
      <c r="V298" s="34">
        <f>SUBTOTAL(9,$K$3:$K298)</f>
        <v>0</v>
      </c>
      <c r="W298" s="35">
        <f>SUBTOTAL(9,$R$3:$R298)</f>
        <v>0</v>
      </c>
      <c r="X298" s="36">
        <f>SUBTOTAL(9,$S$3:$S298)</f>
        <v>0</v>
      </c>
      <c r="Y298" s="23">
        <f>SUBTOTAL(9,$L$3:$L298)</f>
        <v>0</v>
      </c>
      <c r="Z298" s="10">
        <f>SUBTOTAL(9,$M$3:$M298)</f>
        <v>0</v>
      </c>
    </row>
    <row r="299" spans="3:26" x14ac:dyDescent="0.25">
      <c r="C299" s="9" t="e">
        <f>LOOKUP($B299,Aircrafts!$A$2:$A$1048576,Aircrafts!$B$2:$B$1048576)</f>
        <v>#N/A</v>
      </c>
      <c r="D299" s="10" t="e">
        <f>LOOKUP($B299,Aircrafts!$A$2:$A$1048576,Aircrafts!$C$2:$C$1048576)</f>
        <v>#N/A</v>
      </c>
      <c r="F299" s="10" t="e">
        <f>LOOKUP($E299,Aerodromes!$A$2:$A$1048576,Aerodromes!$B$2:$B$1048576)</f>
        <v>#N/A</v>
      </c>
      <c r="H299" s="10" t="e">
        <f>LOOKUP($G299,Aerodromes!$A$2:$A$1048576,Aerodromes!$B$2:$B$1048576)</f>
        <v>#N/A</v>
      </c>
      <c r="K299" s="13">
        <f t="shared" si="4"/>
        <v>0</v>
      </c>
      <c r="V299" s="34">
        <f>SUBTOTAL(9,$K$3:$K299)</f>
        <v>0</v>
      </c>
      <c r="W299" s="35">
        <f>SUBTOTAL(9,$R$3:$R299)</f>
        <v>0</v>
      </c>
      <c r="X299" s="36">
        <f>SUBTOTAL(9,$S$3:$S299)</f>
        <v>0</v>
      </c>
      <c r="Y299" s="23">
        <f>SUBTOTAL(9,$L$3:$L299)</f>
        <v>0</v>
      </c>
      <c r="Z299" s="10">
        <f>SUBTOTAL(9,$M$3:$M299)</f>
        <v>0</v>
      </c>
    </row>
    <row r="300" spans="3:26" x14ac:dyDescent="0.25">
      <c r="C300" s="9" t="e">
        <f>LOOKUP($B300,Aircrafts!$A$2:$A$1048576,Aircrafts!$B$2:$B$1048576)</f>
        <v>#N/A</v>
      </c>
      <c r="D300" s="10" t="e">
        <f>LOOKUP($B300,Aircrafts!$A$2:$A$1048576,Aircrafts!$C$2:$C$1048576)</f>
        <v>#N/A</v>
      </c>
      <c r="F300" s="10" t="e">
        <f>LOOKUP($E300,Aerodromes!$A$2:$A$1048576,Aerodromes!$B$2:$B$1048576)</f>
        <v>#N/A</v>
      </c>
      <c r="H300" s="10" t="e">
        <f>LOOKUP($G300,Aerodromes!$A$2:$A$1048576,Aerodromes!$B$2:$B$1048576)</f>
        <v>#N/A</v>
      </c>
      <c r="K300" s="13">
        <f t="shared" si="4"/>
        <v>0</v>
      </c>
      <c r="V300" s="34">
        <f>SUBTOTAL(9,$K$3:$K300)</f>
        <v>0</v>
      </c>
      <c r="W300" s="35">
        <f>SUBTOTAL(9,$R$3:$R300)</f>
        <v>0</v>
      </c>
      <c r="X300" s="36">
        <f>SUBTOTAL(9,$S$3:$S300)</f>
        <v>0</v>
      </c>
      <c r="Y300" s="23">
        <f>SUBTOTAL(9,$L$3:$L300)</f>
        <v>0</v>
      </c>
      <c r="Z300" s="10">
        <f>SUBTOTAL(9,$M$3:$M300)</f>
        <v>0</v>
      </c>
    </row>
    <row r="301" spans="3:26" x14ac:dyDescent="0.25">
      <c r="C301" s="9" t="e">
        <f>LOOKUP($B301,Aircrafts!$A$2:$A$1048576,Aircrafts!$B$2:$B$1048576)</f>
        <v>#N/A</v>
      </c>
      <c r="D301" s="10" t="e">
        <f>LOOKUP($B301,Aircrafts!$A$2:$A$1048576,Aircrafts!$C$2:$C$1048576)</f>
        <v>#N/A</v>
      </c>
      <c r="F301" s="10" t="e">
        <f>LOOKUP($E301,Aerodromes!$A$2:$A$1048576,Aerodromes!$B$2:$B$1048576)</f>
        <v>#N/A</v>
      </c>
      <c r="H301" s="10" t="e">
        <f>LOOKUP($G301,Aerodromes!$A$2:$A$1048576,Aerodromes!$B$2:$B$1048576)</f>
        <v>#N/A</v>
      </c>
      <c r="K301" s="13">
        <f t="shared" si="4"/>
        <v>0</v>
      </c>
      <c r="V301" s="34">
        <f>SUBTOTAL(9,$K$3:$K301)</f>
        <v>0</v>
      </c>
      <c r="W301" s="35">
        <f>SUBTOTAL(9,$R$3:$R301)</f>
        <v>0</v>
      </c>
      <c r="X301" s="36">
        <f>SUBTOTAL(9,$S$3:$S301)</f>
        <v>0</v>
      </c>
      <c r="Y301" s="23">
        <f>SUBTOTAL(9,$L$3:$L301)</f>
        <v>0</v>
      </c>
      <c r="Z301" s="10">
        <f>SUBTOTAL(9,$M$3:$M301)</f>
        <v>0</v>
      </c>
    </row>
    <row r="302" spans="3:26" x14ac:dyDescent="0.25">
      <c r="C302" s="9" t="e">
        <f>LOOKUP($B302,Aircrafts!$A$2:$A$1048576,Aircrafts!$B$2:$B$1048576)</f>
        <v>#N/A</v>
      </c>
      <c r="D302" s="10" t="e">
        <f>LOOKUP($B302,Aircrafts!$A$2:$A$1048576,Aircrafts!$C$2:$C$1048576)</f>
        <v>#N/A</v>
      </c>
      <c r="F302" s="10" t="e">
        <f>LOOKUP($E302,Aerodromes!$A$2:$A$1048576,Aerodromes!$B$2:$B$1048576)</f>
        <v>#N/A</v>
      </c>
      <c r="H302" s="10" t="e">
        <f>LOOKUP($G302,Aerodromes!$A$2:$A$1048576,Aerodromes!$B$2:$B$1048576)</f>
        <v>#N/A</v>
      </c>
      <c r="K302" s="13">
        <f t="shared" si="4"/>
        <v>0</v>
      </c>
      <c r="V302" s="34">
        <f>SUBTOTAL(9,$K$3:$K302)</f>
        <v>0</v>
      </c>
      <c r="W302" s="35">
        <f>SUBTOTAL(9,$R$3:$R302)</f>
        <v>0</v>
      </c>
      <c r="X302" s="36">
        <f>SUBTOTAL(9,$S$3:$S302)</f>
        <v>0</v>
      </c>
      <c r="Y302" s="23">
        <f>SUBTOTAL(9,$L$3:$L302)</f>
        <v>0</v>
      </c>
      <c r="Z302" s="10">
        <f>SUBTOTAL(9,$M$3:$M302)</f>
        <v>0</v>
      </c>
    </row>
    <row r="303" spans="3:26" x14ac:dyDescent="0.25">
      <c r="C303" s="9" t="e">
        <f>LOOKUP($B303,Aircrafts!$A$2:$A$1048576,Aircrafts!$B$2:$B$1048576)</f>
        <v>#N/A</v>
      </c>
      <c r="D303" s="10" t="e">
        <f>LOOKUP($B303,Aircrafts!$A$2:$A$1048576,Aircrafts!$C$2:$C$1048576)</f>
        <v>#N/A</v>
      </c>
      <c r="F303" s="10" t="e">
        <f>LOOKUP($E303,Aerodromes!$A$2:$A$1048576,Aerodromes!$B$2:$B$1048576)</f>
        <v>#N/A</v>
      </c>
      <c r="H303" s="10" t="e">
        <f>LOOKUP($G303,Aerodromes!$A$2:$A$1048576,Aerodromes!$B$2:$B$1048576)</f>
        <v>#N/A</v>
      </c>
      <c r="K303" s="13">
        <f t="shared" si="4"/>
        <v>0</v>
      </c>
      <c r="V303" s="34">
        <f>SUBTOTAL(9,$K$3:$K303)</f>
        <v>0</v>
      </c>
      <c r="W303" s="35">
        <f>SUBTOTAL(9,$R$3:$R303)</f>
        <v>0</v>
      </c>
      <c r="X303" s="36">
        <f>SUBTOTAL(9,$S$3:$S303)</f>
        <v>0</v>
      </c>
      <c r="Y303" s="23">
        <f>SUBTOTAL(9,$L$3:$L303)</f>
        <v>0</v>
      </c>
      <c r="Z303" s="10">
        <f>SUBTOTAL(9,$M$3:$M303)</f>
        <v>0</v>
      </c>
    </row>
    <row r="304" spans="3:26" x14ac:dyDescent="0.25">
      <c r="C304" s="9" t="e">
        <f>LOOKUP($B304,Aircrafts!$A$2:$A$1048576,Aircrafts!$B$2:$B$1048576)</f>
        <v>#N/A</v>
      </c>
      <c r="D304" s="10" t="e">
        <f>LOOKUP($B304,Aircrafts!$A$2:$A$1048576,Aircrafts!$C$2:$C$1048576)</f>
        <v>#N/A</v>
      </c>
      <c r="F304" s="10" t="e">
        <f>LOOKUP($E304,Aerodromes!$A$2:$A$1048576,Aerodromes!$B$2:$B$1048576)</f>
        <v>#N/A</v>
      </c>
      <c r="H304" s="10" t="e">
        <f>LOOKUP($G304,Aerodromes!$A$2:$A$1048576,Aerodromes!$B$2:$B$1048576)</f>
        <v>#N/A</v>
      </c>
      <c r="K304" s="13">
        <f t="shared" si="4"/>
        <v>0</v>
      </c>
      <c r="V304" s="34">
        <f>SUBTOTAL(9,$K$3:$K304)</f>
        <v>0</v>
      </c>
      <c r="W304" s="35">
        <f>SUBTOTAL(9,$R$3:$R304)</f>
        <v>0</v>
      </c>
      <c r="X304" s="36">
        <f>SUBTOTAL(9,$S$3:$S304)</f>
        <v>0</v>
      </c>
      <c r="Y304" s="23">
        <f>SUBTOTAL(9,$L$3:$L304)</f>
        <v>0</v>
      </c>
      <c r="Z304" s="10">
        <f>SUBTOTAL(9,$M$3:$M304)</f>
        <v>0</v>
      </c>
    </row>
    <row r="305" spans="3:26" x14ac:dyDescent="0.25">
      <c r="C305" s="9" t="e">
        <f>LOOKUP($B305,Aircrafts!$A$2:$A$1048576,Aircrafts!$B$2:$B$1048576)</f>
        <v>#N/A</v>
      </c>
      <c r="D305" s="10" t="e">
        <f>LOOKUP($B305,Aircrafts!$A$2:$A$1048576,Aircrafts!$C$2:$C$1048576)</f>
        <v>#N/A</v>
      </c>
      <c r="F305" s="10" t="e">
        <f>LOOKUP($E305,Aerodromes!$A$2:$A$1048576,Aerodromes!$B$2:$B$1048576)</f>
        <v>#N/A</v>
      </c>
      <c r="H305" s="10" t="e">
        <f>LOOKUP($G305,Aerodromes!$A$2:$A$1048576,Aerodromes!$B$2:$B$1048576)</f>
        <v>#N/A</v>
      </c>
      <c r="K305" s="13">
        <f t="shared" si="4"/>
        <v>0</v>
      </c>
      <c r="V305" s="34">
        <f>SUBTOTAL(9,$K$3:$K305)</f>
        <v>0</v>
      </c>
      <c r="W305" s="35">
        <f>SUBTOTAL(9,$R$3:$R305)</f>
        <v>0</v>
      </c>
      <c r="X305" s="36">
        <f>SUBTOTAL(9,$S$3:$S305)</f>
        <v>0</v>
      </c>
      <c r="Y305" s="23">
        <f>SUBTOTAL(9,$L$3:$L305)</f>
        <v>0</v>
      </c>
      <c r="Z305" s="10">
        <f>SUBTOTAL(9,$M$3:$M305)</f>
        <v>0</v>
      </c>
    </row>
    <row r="306" spans="3:26" x14ac:dyDescent="0.25">
      <c r="C306" s="9" t="e">
        <f>LOOKUP($B306,Aircrafts!$A$2:$A$1048576,Aircrafts!$B$2:$B$1048576)</f>
        <v>#N/A</v>
      </c>
      <c r="D306" s="10" t="e">
        <f>LOOKUP($B306,Aircrafts!$A$2:$A$1048576,Aircrafts!$C$2:$C$1048576)</f>
        <v>#N/A</v>
      </c>
      <c r="F306" s="10" t="e">
        <f>LOOKUP($E306,Aerodromes!$A$2:$A$1048576,Aerodromes!$B$2:$B$1048576)</f>
        <v>#N/A</v>
      </c>
      <c r="H306" s="10" t="e">
        <f>LOOKUP($G306,Aerodromes!$A$2:$A$1048576,Aerodromes!$B$2:$B$1048576)</f>
        <v>#N/A</v>
      </c>
      <c r="K306" s="13">
        <f t="shared" si="4"/>
        <v>0</v>
      </c>
      <c r="V306" s="34">
        <f>SUBTOTAL(9,$K$3:$K306)</f>
        <v>0</v>
      </c>
      <c r="W306" s="35">
        <f>SUBTOTAL(9,$R$3:$R306)</f>
        <v>0</v>
      </c>
      <c r="X306" s="36">
        <f>SUBTOTAL(9,$S$3:$S306)</f>
        <v>0</v>
      </c>
      <c r="Y306" s="23">
        <f>SUBTOTAL(9,$L$3:$L306)</f>
        <v>0</v>
      </c>
      <c r="Z306" s="10">
        <f>SUBTOTAL(9,$M$3:$M306)</f>
        <v>0</v>
      </c>
    </row>
    <row r="307" spans="3:26" x14ac:dyDescent="0.25">
      <c r="C307" s="9" t="e">
        <f>LOOKUP($B307,Aircrafts!$A$2:$A$1048576,Aircrafts!$B$2:$B$1048576)</f>
        <v>#N/A</v>
      </c>
      <c r="D307" s="10" t="e">
        <f>LOOKUP($B307,Aircrafts!$A$2:$A$1048576,Aircrafts!$C$2:$C$1048576)</f>
        <v>#N/A</v>
      </c>
      <c r="F307" s="10" t="e">
        <f>LOOKUP($E307,Aerodromes!$A$2:$A$1048576,Aerodromes!$B$2:$B$1048576)</f>
        <v>#N/A</v>
      </c>
      <c r="H307" s="10" t="e">
        <f>LOOKUP($G307,Aerodromes!$A$2:$A$1048576,Aerodromes!$B$2:$B$1048576)</f>
        <v>#N/A</v>
      </c>
      <c r="K307" s="13">
        <f t="shared" si="4"/>
        <v>0</v>
      </c>
      <c r="V307" s="34">
        <f>SUBTOTAL(9,$K$3:$K307)</f>
        <v>0</v>
      </c>
      <c r="W307" s="35">
        <f>SUBTOTAL(9,$R$3:$R307)</f>
        <v>0</v>
      </c>
      <c r="X307" s="36">
        <f>SUBTOTAL(9,$S$3:$S307)</f>
        <v>0</v>
      </c>
      <c r="Y307" s="23">
        <f>SUBTOTAL(9,$L$3:$L307)</f>
        <v>0</v>
      </c>
      <c r="Z307" s="10">
        <f>SUBTOTAL(9,$M$3:$M307)</f>
        <v>0</v>
      </c>
    </row>
    <row r="308" spans="3:26" x14ac:dyDescent="0.25">
      <c r="C308" s="9" t="e">
        <f>LOOKUP($B308,Aircrafts!$A$2:$A$1048576,Aircrafts!$B$2:$B$1048576)</f>
        <v>#N/A</v>
      </c>
      <c r="D308" s="10" t="e">
        <f>LOOKUP($B308,Aircrafts!$A$2:$A$1048576,Aircrafts!$C$2:$C$1048576)</f>
        <v>#N/A</v>
      </c>
      <c r="F308" s="10" t="e">
        <f>LOOKUP($E308,Aerodromes!$A$2:$A$1048576,Aerodromes!$B$2:$B$1048576)</f>
        <v>#N/A</v>
      </c>
      <c r="H308" s="10" t="e">
        <f>LOOKUP($G308,Aerodromes!$A$2:$A$1048576,Aerodromes!$B$2:$B$1048576)</f>
        <v>#N/A</v>
      </c>
      <c r="K308" s="13">
        <f t="shared" si="4"/>
        <v>0</v>
      </c>
      <c r="V308" s="34">
        <f>SUBTOTAL(9,$K$3:$K308)</f>
        <v>0</v>
      </c>
      <c r="W308" s="35">
        <f>SUBTOTAL(9,$R$3:$R308)</f>
        <v>0</v>
      </c>
      <c r="X308" s="36">
        <f>SUBTOTAL(9,$S$3:$S308)</f>
        <v>0</v>
      </c>
      <c r="Y308" s="23">
        <f>SUBTOTAL(9,$L$3:$L308)</f>
        <v>0</v>
      </c>
      <c r="Z308" s="10">
        <f>SUBTOTAL(9,$M$3:$M308)</f>
        <v>0</v>
      </c>
    </row>
    <row r="309" spans="3:26" x14ac:dyDescent="0.25">
      <c r="C309" s="9" t="e">
        <f>LOOKUP($B309,Aircrafts!$A$2:$A$1048576,Aircrafts!$B$2:$B$1048576)</f>
        <v>#N/A</v>
      </c>
      <c r="D309" s="10" t="e">
        <f>LOOKUP($B309,Aircrafts!$A$2:$A$1048576,Aircrafts!$C$2:$C$1048576)</f>
        <v>#N/A</v>
      </c>
      <c r="F309" s="10" t="e">
        <f>LOOKUP($E309,Aerodromes!$A$2:$A$1048576,Aerodromes!$B$2:$B$1048576)</f>
        <v>#N/A</v>
      </c>
      <c r="H309" s="10" t="e">
        <f>LOOKUP($G309,Aerodromes!$A$2:$A$1048576,Aerodromes!$B$2:$B$1048576)</f>
        <v>#N/A</v>
      </c>
      <c r="K309" s="13">
        <f t="shared" si="4"/>
        <v>0</v>
      </c>
      <c r="V309" s="34">
        <f>SUBTOTAL(9,$K$3:$K309)</f>
        <v>0</v>
      </c>
      <c r="W309" s="35">
        <f>SUBTOTAL(9,$R$3:$R309)</f>
        <v>0</v>
      </c>
      <c r="X309" s="36">
        <f>SUBTOTAL(9,$S$3:$S309)</f>
        <v>0</v>
      </c>
      <c r="Y309" s="23">
        <f>SUBTOTAL(9,$L$3:$L309)</f>
        <v>0</v>
      </c>
      <c r="Z309" s="10">
        <f>SUBTOTAL(9,$M$3:$M309)</f>
        <v>0</v>
      </c>
    </row>
    <row r="310" spans="3:26" x14ac:dyDescent="0.25">
      <c r="C310" s="9" t="e">
        <f>LOOKUP($B310,Aircrafts!$A$2:$A$1048576,Aircrafts!$B$2:$B$1048576)</f>
        <v>#N/A</v>
      </c>
      <c r="D310" s="10" t="e">
        <f>LOOKUP($B310,Aircrafts!$A$2:$A$1048576,Aircrafts!$C$2:$C$1048576)</f>
        <v>#N/A</v>
      </c>
      <c r="F310" s="10" t="e">
        <f>LOOKUP($E310,Aerodromes!$A$2:$A$1048576,Aerodromes!$B$2:$B$1048576)</f>
        <v>#N/A</v>
      </c>
      <c r="H310" s="10" t="e">
        <f>LOOKUP($G310,Aerodromes!$A$2:$A$1048576,Aerodromes!$B$2:$B$1048576)</f>
        <v>#N/A</v>
      </c>
      <c r="K310" s="13">
        <f t="shared" si="4"/>
        <v>0</v>
      </c>
      <c r="V310" s="34">
        <f>SUBTOTAL(9,$K$3:$K310)</f>
        <v>0</v>
      </c>
      <c r="W310" s="35">
        <f>SUBTOTAL(9,$R$3:$R310)</f>
        <v>0</v>
      </c>
      <c r="X310" s="36">
        <f>SUBTOTAL(9,$S$3:$S310)</f>
        <v>0</v>
      </c>
      <c r="Y310" s="23">
        <f>SUBTOTAL(9,$L$3:$L310)</f>
        <v>0</v>
      </c>
      <c r="Z310" s="10">
        <f>SUBTOTAL(9,$M$3:$M310)</f>
        <v>0</v>
      </c>
    </row>
    <row r="311" spans="3:26" x14ac:dyDescent="0.25">
      <c r="C311" s="9" t="e">
        <f>LOOKUP($B311,Aircrafts!$A$2:$A$1048576,Aircrafts!$B$2:$B$1048576)</f>
        <v>#N/A</v>
      </c>
      <c r="D311" s="10" t="e">
        <f>LOOKUP($B311,Aircrafts!$A$2:$A$1048576,Aircrafts!$C$2:$C$1048576)</f>
        <v>#N/A</v>
      </c>
      <c r="F311" s="10" t="e">
        <f>LOOKUP($E311,Aerodromes!$A$2:$A$1048576,Aerodromes!$B$2:$B$1048576)</f>
        <v>#N/A</v>
      </c>
      <c r="H311" s="10" t="e">
        <f>LOOKUP($G311,Aerodromes!$A$2:$A$1048576,Aerodromes!$B$2:$B$1048576)</f>
        <v>#N/A</v>
      </c>
      <c r="K311" s="13">
        <f t="shared" si="4"/>
        <v>0</v>
      </c>
      <c r="V311" s="34">
        <f>SUBTOTAL(9,$K$3:$K311)</f>
        <v>0</v>
      </c>
      <c r="W311" s="35">
        <f>SUBTOTAL(9,$R$3:$R311)</f>
        <v>0</v>
      </c>
      <c r="X311" s="36">
        <f>SUBTOTAL(9,$S$3:$S311)</f>
        <v>0</v>
      </c>
      <c r="Y311" s="23">
        <f>SUBTOTAL(9,$L$3:$L311)</f>
        <v>0</v>
      </c>
      <c r="Z311" s="10">
        <f>SUBTOTAL(9,$M$3:$M311)</f>
        <v>0</v>
      </c>
    </row>
    <row r="312" spans="3:26" x14ac:dyDescent="0.25">
      <c r="C312" s="9" t="e">
        <f>LOOKUP($B312,Aircrafts!$A$2:$A$1048576,Aircrafts!$B$2:$B$1048576)</f>
        <v>#N/A</v>
      </c>
      <c r="D312" s="10" t="e">
        <f>LOOKUP($B312,Aircrafts!$A$2:$A$1048576,Aircrafts!$C$2:$C$1048576)</f>
        <v>#N/A</v>
      </c>
      <c r="F312" s="10" t="e">
        <f>LOOKUP($E312,Aerodromes!$A$2:$A$1048576,Aerodromes!$B$2:$B$1048576)</f>
        <v>#N/A</v>
      </c>
      <c r="H312" s="10" t="e">
        <f>LOOKUP($G312,Aerodromes!$A$2:$A$1048576,Aerodromes!$B$2:$B$1048576)</f>
        <v>#N/A</v>
      </c>
      <c r="K312" s="13">
        <f t="shared" si="4"/>
        <v>0</v>
      </c>
      <c r="V312" s="34">
        <f>SUBTOTAL(9,$K$3:$K312)</f>
        <v>0</v>
      </c>
      <c r="W312" s="35">
        <f>SUBTOTAL(9,$R$3:$R312)</f>
        <v>0</v>
      </c>
      <c r="X312" s="36">
        <f>SUBTOTAL(9,$S$3:$S312)</f>
        <v>0</v>
      </c>
      <c r="Y312" s="23">
        <f>SUBTOTAL(9,$L$3:$L312)</f>
        <v>0</v>
      </c>
      <c r="Z312" s="10">
        <f>SUBTOTAL(9,$M$3:$M312)</f>
        <v>0</v>
      </c>
    </row>
    <row r="313" spans="3:26" x14ac:dyDescent="0.25">
      <c r="C313" s="9" t="e">
        <f>LOOKUP($B313,Aircrafts!$A$2:$A$1048576,Aircrafts!$B$2:$B$1048576)</f>
        <v>#N/A</v>
      </c>
      <c r="D313" s="10" t="e">
        <f>LOOKUP($B313,Aircrafts!$A$2:$A$1048576,Aircrafts!$C$2:$C$1048576)</f>
        <v>#N/A</v>
      </c>
      <c r="F313" s="10" t="e">
        <f>LOOKUP($E313,Aerodromes!$A$2:$A$1048576,Aerodromes!$B$2:$B$1048576)</f>
        <v>#N/A</v>
      </c>
      <c r="H313" s="10" t="e">
        <f>LOOKUP($G313,Aerodromes!$A$2:$A$1048576,Aerodromes!$B$2:$B$1048576)</f>
        <v>#N/A</v>
      </c>
      <c r="K313" s="13">
        <f t="shared" si="4"/>
        <v>0</v>
      </c>
      <c r="V313" s="34">
        <f>SUBTOTAL(9,$K$3:$K313)</f>
        <v>0</v>
      </c>
      <c r="W313" s="35">
        <f>SUBTOTAL(9,$R$3:$R313)</f>
        <v>0</v>
      </c>
      <c r="X313" s="36">
        <f>SUBTOTAL(9,$S$3:$S313)</f>
        <v>0</v>
      </c>
      <c r="Y313" s="23">
        <f>SUBTOTAL(9,$L$3:$L313)</f>
        <v>0</v>
      </c>
      <c r="Z313" s="10">
        <f>SUBTOTAL(9,$M$3:$M313)</f>
        <v>0</v>
      </c>
    </row>
    <row r="314" spans="3:26" x14ac:dyDescent="0.25">
      <c r="C314" s="9" t="e">
        <f>LOOKUP($B314,Aircrafts!$A$2:$A$1048576,Aircrafts!$B$2:$B$1048576)</f>
        <v>#N/A</v>
      </c>
      <c r="D314" s="10" t="e">
        <f>LOOKUP($B314,Aircrafts!$A$2:$A$1048576,Aircrafts!$C$2:$C$1048576)</f>
        <v>#N/A</v>
      </c>
      <c r="F314" s="10" t="e">
        <f>LOOKUP($E314,Aerodromes!$A$2:$A$1048576,Aerodromes!$B$2:$B$1048576)</f>
        <v>#N/A</v>
      </c>
      <c r="H314" s="10" t="e">
        <f>LOOKUP($G314,Aerodromes!$A$2:$A$1048576,Aerodromes!$B$2:$B$1048576)</f>
        <v>#N/A</v>
      </c>
      <c r="K314" s="13">
        <f t="shared" si="4"/>
        <v>0</v>
      </c>
      <c r="V314" s="34">
        <f>SUBTOTAL(9,$K$3:$K314)</f>
        <v>0</v>
      </c>
      <c r="W314" s="35">
        <f>SUBTOTAL(9,$R$3:$R314)</f>
        <v>0</v>
      </c>
      <c r="X314" s="36">
        <f>SUBTOTAL(9,$S$3:$S314)</f>
        <v>0</v>
      </c>
      <c r="Y314" s="23">
        <f>SUBTOTAL(9,$L$3:$L314)</f>
        <v>0</v>
      </c>
      <c r="Z314" s="10">
        <f>SUBTOTAL(9,$M$3:$M314)</f>
        <v>0</v>
      </c>
    </row>
    <row r="315" spans="3:26" x14ac:dyDescent="0.25">
      <c r="C315" s="9" t="e">
        <f>LOOKUP($B315,Aircrafts!$A$2:$A$1048576,Aircrafts!$B$2:$B$1048576)</f>
        <v>#N/A</v>
      </c>
      <c r="D315" s="10" t="e">
        <f>LOOKUP($B315,Aircrafts!$A$2:$A$1048576,Aircrafts!$C$2:$C$1048576)</f>
        <v>#N/A</v>
      </c>
      <c r="F315" s="10" t="e">
        <f>LOOKUP($E315,Aerodromes!$A$2:$A$1048576,Aerodromes!$B$2:$B$1048576)</f>
        <v>#N/A</v>
      </c>
      <c r="H315" s="10" t="e">
        <f>LOOKUP($G315,Aerodromes!$A$2:$A$1048576,Aerodromes!$B$2:$B$1048576)</f>
        <v>#N/A</v>
      </c>
      <c r="K315" s="13">
        <f t="shared" si="4"/>
        <v>0</v>
      </c>
      <c r="V315" s="34">
        <f>SUBTOTAL(9,$K$3:$K315)</f>
        <v>0</v>
      </c>
      <c r="W315" s="35">
        <f>SUBTOTAL(9,$R$3:$R315)</f>
        <v>0</v>
      </c>
      <c r="X315" s="36">
        <f>SUBTOTAL(9,$S$3:$S315)</f>
        <v>0</v>
      </c>
      <c r="Y315" s="23">
        <f>SUBTOTAL(9,$L$3:$L315)</f>
        <v>0</v>
      </c>
      <c r="Z315" s="10">
        <f>SUBTOTAL(9,$M$3:$M315)</f>
        <v>0</v>
      </c>
    </row>
    <row r="316" spans="3:26" x14ac:dyDescent="0.25">
      <c r="C316" s="9" t="e">
        <f>LOOKUP($B316,Aircrafts!$A$2:$A$1048576,Aircrafts!$B$2:$B$1048576)</f>
        <v>#N/A</v>
      </c>
      <c r="D316" s="10" t="e">
        <f>LOOKUP($B316,Aircrafts!$A$2:$A$1048576,Aircrafts!$C$2:$C$1048576)</f>
        <v>#N/A</v>
      </c>
      <c r="F316" s="10" t="e">
        <f>LOOKUP($E316,Aerodromes!$A$2:$A$1048576,Aerodromes!$B$2:$B$1048576)</f>
        <v>#N/A</v>
      </c>
      <c r="H316" s="10" t="e">
        <f>LOOKUP($G316,Aerodromes!$A$2:$A$1048576,Aerodromes!$B$2:$B$1048576)</f>
        <v>#N/A</v>
      </c>
      <c r="K316" s="13">
        <f t="shared" si="4"/>
        <v>0</v>
      </c>
      <c r="V316" s="34">
        <f>SUBTOTAL(9,$K$3:$K316)</f>
        <v>0</v>
      </c>
      <c r="W316" s="35">
        <f>SUBTOTAL(9,$R$3:$R316)</f>
        <v>0</v>
      </c>
      <c r="X316" s="36">
        <f>SUBTOTAL(9,$S$3:$S316)</f>
        <v>0</v>
      </c>
      <c r="Y316" s="23">
        <f>SUBTOTAL(9,$L$3:$L316)</f>
        <v>0</v>
      </c>
      <c r="Z316" s="10">
        <f>SUBTOTAL(9,$M$3:$M316)</f>
        <v>0</v>
      </c>
    </row>
    <row r="317" spans="3:26" x14ac:dyDescent="0.25">
      <c r="C317" s="9" t="e">
        <f>LOOKUP($B317,Aircrafts!$A$2:$A$1048576,Aircrafts!$B$2:$B$1048576)</f>
        <v>#N/A</v>
      </c>
      <c r="D317" s="10" t="e">
        <f>LOOKUP($B317,Aircrafts!$A$2:$A$1048576,Aircrafts!$C$2:$C$1048576)</f>
        <v>#N/A</v>
      </c>
      <c r="F317" s="10" t="e">
        <f>LOOKUP($E317,Aerodromes!$A$2:$A$1048576,Aerodromes!$B$2:$B$1048576)</f>
        <v>#N/A</v>
      </c>
      <c r="H317" s="10" t="e">
        <f>LOOKUP($G317,Aerodromes!$A$2:$A$1048576,Aerodromes!$B$2:$B$1048576)</f>
        <v>#N/A</v>
      </c>
      <c r="K317" s="13">
        <f t="shared" si="4"/>
        <v>0</v>
      </c>
      <c r="V317" s="34">
        <f>SUBTOTAL(9,$K$3:$K317)</f>
        <v>0</v>
      </c>
      <c r="W317" s="35">
        <f>SUBTOTAL(9,$R$3:$R317)</f>
        <v>0</v>
      </c>
      <c r="X317" s="36">
        <f>SUBTOTAL(9,$S$3:$S317)</f>
        <v>0</v>
      </c>
      <c r="Y317" s="23">
        <f>SUBTOTAL(9,$L$3:$L317)</f>
        <v>0</v>
      </c>
      <c r="Z317" s="10">
        <f>SUBTOTAL(9,$M$3:$M317)</f>
        <v>0</v>
      </c>
    </row>
    <row r="318" spans="3:26" x14ac:dyDescent="0.25">
      <c r="C318" s="9" t="e">
        <f>LOOKUP($B318,Aircrafts!$A$2:$A$1048576,Aircrafts!$B$2:$B$1048576)</f>
        <v>#N/A</v>
      </c>
      <c r="D318" s="10" t="e">
        <f>LOOKUP($B318,Aircrafts!$A$2:$A$1048576,Aircrafts!$C$2:$C$1048576)</f>
        <v>#N/A</v>
      </c>
      <c r="F318" s="10" t="e">
        <f>LOOKUP($E318,Aerodromes!$A$2:$A$1048576,Aerodromes!$B$2:$B$1048576)</f>
        <v>#N/A</v>
      </c>
      <c r="H318" s="10" t="e">
        <f>LOOKUP($G318,Aerodromes!$A$2:$A$1048576,Aerodromes!$B$2:$B$1048576)</f>
        <v>#N/A</v>
      </c>
      <c r="K318" s="13">
        <f t="shared" si="4"/>
        <v>0</v>
      </c>
      <c r="V318" s="34">
        <f>SUBTOTAL(9,$K$3:$K318)</f>
        <v>0</v>
      </c>
      <c r="W318" s="35">
        <f>SUBTOTAL(9,$R$3:$R318)</f>
        <v>0</v>
      </c>
      <c r="X318" s="36">
        <f>SUBTOTAL(9,$S$3:$S318)</f>
        <v>0</v>
      </c>
      <c r="Y318" s="23">
        <f>SUBTOTAL(9,$L$3:$L318)</f>
        <v>0</v>
      </c>
      <c r="Z318" s="10">
        <f>SUBTOTAL(9,$M$3:$M318)</f>
        <v>0</v>
      </c>
    </row>
    <row r="319" spans="3:26" x14ac:dyDescent="0.25">
      <c r="C319" s="9" t="e">
        <f>LOOKUP($B319,Aircrafts!$A$2:$A$1048576,Aircrafts!$B$2:$B$1048576)</f>
        <v>#N/A</v>
      </c>
      <c r="D319" s="10" t="e">
        <f>LOOKUP($B319,Aircrafts!$A$2:$A$1048576,Aircrafts!$C$2:$C$1048576)</f>
        <v>#N/A</v>
      </c>
      <c r="F319" s="10" t="e">
        <f>LOOKUP($E319,Aerodromes!$A$2:$A$1048576,Aerodromes!$B$2:$B$1048576)</f>
        <v>#N/A</v>
      </c>
      <c r="H319" s="10" t="e">
        <f>LOOKUP($G319,Aerodromes!$A$2:$A$1048576,Aerodromes!$B$2:$B$1048576)</f>
        <v>#N/A</v>
      </c>
      <c r="K319" s="13">
        <f t="shared" si="4"/>
        <v>0</v>
      </c>
      <c r="V319" s="34">
        <f>SUBTOTAL(9,$K$3:$K319)</f>
        <v>0</v>
      </c>
      <c r="W319" s="35">
        <f>SUBTOTAL(9,$R$3:$R319)</f>
        <v>0</v>
      </c>
      <c r="X319" s="36">
        <f>SUBTOTAL(9,$S$3:$S319)</f>
        <v>0</v>
      </c>
      <c r="Y319" s="23">
        <f>SUBTOTAL(9,$L$3:$L319)</f>
        <v>0</v>
      </c>
      <c r="Z319" s="10">
        <f>SUBTOTAL(9,$M$3:$M319)</f>
        <v>0</v>
      </c>
    </row>
    <row r="320" spans="3:26" x14ac:dyDescent="0.25">
      <c r="C320" s="9" t="e">
        <f>LOOKUP($B320,Aircrafts!$A$2:$A$1048576,Aircrafts!$B$2:$B$1048576)</f>
        <v>#N/A</v>
      </c>
      <c r="D320" s="10" t="e">
        <f>LOOKUP($B320,Aircrafts!$A$2:$A$1048576,Aircrafts!$C$2:$C$1048576)</f>
        <v>#N/A</v>
      </c>
      <c r="F320" s="10" t="e">
        <f>LOOKUP($E320,Aerodromes!$A$2:$A$1048576,Aerodromes!$B$2:$B$1048576)</f>
        <v>#N/A</v>
      </c>
      <c r="H320" s="10" t="e">
        <f>LOOKUP($G320,Aerodromes!$A$2:$A$1048576,Aerodromes!$B$2:$B$1048576)</f>
        <v>#N/A</v>
      </c>
      <c r="K320" s="13">
        <f t="shared" si="4"/>
        <v>0</v>
      </c>
      <c r="V320" s="34">
        <f>SUBTOTAL(9,$K$3:$K320)</f>
        <v>0</v>
      </c>
      <c r="W320" s="35">
        <f>SUBTOTAL(9,$R$3:$R320)</f>
        <v>0</v>
      </c>
      <c r="X320" s="36">
        <f>SUBTOTAL(9,$S$3:$S320)</f>
        <v>0</v>
      </c>
      <c r="Y320" s="23">
        <f>SUBTOTAL(9,$L$3:$L320)</f>
        <v>0</v>
      </c>
      <c r="Z320" s="10">
        <f>SUBTOTAL(9,$M$3:$M320)</f>
        <v>0</v>
      </c>
    </row>
    <row r="321" spans="3:26" x14ac:dyDescent="0.25">
      <c r="C321" s="9" t="e">
        <f>LOOKUP($B321,Aircrafts!$A$2:$A$1048576,Aircrafts!$B$2:$B$1048576)</f>
        <v>#N/A</v>
      </c>
      <c r="D321" s="10" t="e">
        <f>LOOKUP($B321,Aircrafts!$A$2:$A$1048576,Aircrafts!$C$2:$C$1048576)</f>
        <v>#N/A</v>
      </c>
      <c r="F321" s="10" t="e">
        <f>LOOKUP($E321,Aerodromes!$A$2:$A$1048576,Aerodromes!$B$2:$B$1048576)</f>
        <v>#N/A</v>
      </c>
      <c r="H321" s="10" t="e">
        <f>LOOKUP($G321,Aerodromes!$A$2:$A$1048576,Aerodromes!$B$2:$B$1048576)</f>
        <v>#N/A</v>
      </c>
      <c r="K321" s="13">
        <f t="shared" si="4"/>
        <v>0</v>
      </c>
      <c r="V321" s="34">
        <f>SUBTOTAL(9,$K$3:$K321)</f>
        <v>0</v>
      </c>
      <c r="W321" s="35">
        <f>SUBTOTAL(9,$R$3:$R321)</f>
        <v>0</v>
      </c>
      <c r="X321" s="36">
        <f>SUBTOTAL(9,$S$3:$S321)</f>
        <v>0</v>
      </c>
      <c r="Y321" s="23">
        <f>SUBTOTAL(9,$L$3:$L321)</f>
        <v>0</v>
      </c>
      <c r="Z321" s="10">
        <f>SUBTOTAL(9,$M$3:$M321)</f>
        <v>0</v>
      </c>
    </row>
    <row r="322" spans="3:26" x14ac:dyDescent="0.25">
      <c r="C322" s="9" t="e">
        <f>LOOKUP($B322,Aircrafts!$A$2:$A$1048576,Aircrafts!$B$2:$B$1048576)</f>
        <v>#N/A</v>
      </c>
      <c r="D322" s="10" t="e">
        <f>LOOKUP($B322,Aircrafts!$A$2:$A$1048576,Aircrafts!$C$2:$C$1048576)</f>
        <v>#N/A</v>
      </c>
      <c r="F322" s="10" t="e">
        <f>LOOKUP($E322,Aerodromes!$A$2:$A$1048576,Aerodromes!$B$2:$B$1048576)</f>
        <v>#N/A</v>
      </c>
      <c r="H322" s="10" t="e">
        <f>LOOKUP($G322,Aerodromes!$A$2:$A$1048576,Aerodromes!$B$2:$B$1048576)</f>
        <v>#N/A</v>
      </c>
      <c r="K322" s="13">
        <f t="shared" si="4"/>
        <v>0</v>
      </c>
      <c r="V322" s="34">
        <f>SUBTOTAL(9,$K$3:$K322)</f>
        <v>0</v>
      </c>
      <c r="W322" s="35">
        <f>SUBTOTAL(9,$R$3:$R322)</f>
        <v>0</v>
      </c>
      <c r="X322" s="36">
        <f>SUBTOTAL(9,$S$3:$S322)</f>
        <v>0</v>
      </c>
      <c r="Y322" s="23">
        <f>SUBTOTAL(9,$L$3:$L322)</f>
        <v>0</v>
      </c>
      <c r="Z322" s="10">
        <f>SUBTOTAL(9,$M$3:$M322)</f>
        <v>0</v>
      </c>
    </row>
    <row r="323" spans="3:26" x14ac:dyDescent="0.25">
      <c r="C323" s="9" t="e">
        <f>LOOKUP($B323,Aircrafts!$A$2:$A$1048576,Aircrafts!$B$2:$B$1048576)</f>
        <v>#N/A</v>
      </c>
      <c r="D323" s="10" t="e">
        <f>LOOKUP($B323,Aircrafts!$A$2:$A$1048576,Aircrafts!$C$2:$C$1048576)</f>
        <v>#N/A</v>
      </c>
      <c r="F323" s="10" t="e">
        <f>LOOKUP($E323,Aerodromes!$A$2:$A$1048576,Aerodromes!$B$2:$B$1048576)</f>
        <v>#N/A</v>
      </c>
      <c r="H323" s="10" t="e">
        <f>LOOKUP($G323,Aerodromes!$A$2:$A$1048576,Aerodromes!$B$2:$B$1048576)</f>
        <v>#N/A</v>
      </c>
      <c r="K323" s="13">
        <f t="shared" ref="K323:K386" si="5">IF($J323&gt;=$I323,$J323-$I323,1+$J323-$I323)</f>
        <v>0</v>
      </c>
      <c r="V323" s="34">
        <f>SUBTOTAL(9,$K$3:$K323)</f>
        <v>0</v>
      </c>
      <c r="W323" s="35">
        <f>SUBTOTAL(9,$R$3:$R323)</f>
        <v>0</v>
      </c>
      <c r="X323" s="36">
        <f>SUBTOTAL(9,$S$3:$S323)</f>
        <v>0</v>
      </c>
      <c r="Y323" s="23">
        <f>SUBTOTAL(9,$L$3:$L323)</f>
        <v>0</v>
      </c>
      <c r="Z323" s="10">
        <f>SUBTOTAL(9,$M$3:$M323)</f>
        <v>0</v>
      </c>
    </row>
    <row r="324" spans="3:26" x14ac:dyDescent="0.25">
      <c r="C324" s="9" t="e">
        <f>LOOKUP($B324,Aircrafts!$A$2:$A$1048576,Aircrafts!$B$2:$B$1048576)</f>
        <v>#N/A</v>
      </c>
      <c r="D324" s="10" t="e">
        <f>LOOKUP($B324,Aircrafts!$A$2:$A$1048576,Aircrafts!$C$2:$C$1048576)</f>
        <v>#N/A</v>
      </c>
      <c r="F324" s="10" t="e">
        <f>LOOKUP($E324,Aerodromes!$A$2:$A$1048576,Aerodromes!$B$2:$B$1048576)</f>
        <v>#N/A</v>
      </c>
      <c r="H324" s="10" t="e">
        <f>LOOKUP($G324,Aerodromes!$A$2:$A$1048576,Aerodromes!$B$2:$B$1048576)</f>
        <v>#N/A</v>
      </c>
      <c r="K324" s="13">
        <f t="shared" si="5"/>
        <v>0</v>
      </c>
      <c r="V324" s="34">
        <f>SUBTOTAL(9,$K$3:$K324)</f>
        <v>0</v>
      </c>
      <c r="W324" s="35">
        <f>SUBTOTAL(9,$R$3:$R324)</f>
        <v>0</v>
      </c>
      <c r="X324" s="36">
        <f>SUBTOTAL(9,$S$3:$S324)</f>
        <v>0</v>
      </c>
      <c r="Y324" s="23">
        <f>SUBTOTAL(9,$L$3:$L324)</f>
        <v>0</v>
      </c>
      <c r="Z324" s="10">
        <f>SUBTOTAL(9,$M$3:$M324)</f>
        <v>0</v>
      </c>
    </row>
    <row r="325" spans="3:26" x14ac:dyDescent="0.25">
      <c r="C325" s="9" t="e">
        <f>LOOKUP($B325,Aircrafts!$A$2:$A$1048576,Aircrafts!$B$2:$B$1048576)</f>
        <v>#N/A</v>
      </c>
      <c r="D325" s="10" t="e">
        <f>LOOKUP($B325,Aircrafts!$A$2:$A$1048576,Aircrafts!$C$2:$C$1048576)</f>
        <v>#N/A</v>
      </c>
      <c r="F325" s="10" t="e">
        <f>LOOKUP($E325,Aerodromes!$A$2:$A$1048576,Aerodromes!$B$2:$B$1048576)</f>
        <v>#N/A</v>
      </c>
      <c r="H325" s="10" t="e">
        <f>LOOKUP($G325,Aerodromes!$A$2:$A$1048576,Aerodromes!$B$2:$B$1048576)</f>
        <v>#N/A</v>
      </c>
      <c r="K325" s="13">
        <f t="shared" si="5"/>
        <v>0</v>
      </c>
      <c r="V325" s="34">
        <f>SUBTOTAL(9,$K$3:$K325)</f>
        <v>0</v>
      </c>
      <c r="W325" s="35">
        <f>SUBTOTAL(9,$R$3:$R325)</f>
        <v>0</v>
      </c>
      <c r="X325" s="36">
        <f>SUBTOTAL(9,$S$3:$S325)</f>
        <v>0</v>
      </c>
      <c r="Y325" s="23">
        <f>SUBTOTAL(9,$L$3:$L325)</f>
        <v>0</v>
      </c>
      <c r="Z325" s="10">
        <f>SUBTOTAL(9,$M$3:$M325)</f>
        <v>0</v>
      </c>
    </row>
    <row r="326" spans="3:26" x14ac:dyDescent="0.25">
      <c r="C326" s="9" t="e">
        <f>LOOKUP($B326,Aircrafts!$A$2:$A$1048576,Aircrafts!$B$2:$B$1048576)</f>
        <v>#N/A</v>
      </c>
      <c r="D326" s="10" t="e">
        <f>LOOKUP($B326,Aircrafts!$A$2:$A$1048576,Aircrafts!$C$2:$C$1048576)</f>
        <v>#N/A</v>
      </c>
      <c r="F326" s="10" t="e">
        <f>LOOKUP($E326,Aerodromes!$A$2:$A$1048576,Aerodromes!$B$2:$B$1048576)</f>
        <v>#N/A</v>
      </c>
      <c r="H326" s="10" t="e">
        <f>LOOKUP($G326,Aerodromes!$A$2:$A$1048576,Aerodromes!$B$2:$B$1048576)</f>
        <v>#N/A</v>
      </c>
      <c r="K326" s="13">
        <f t="shared" si="5"/>
        <v>0</v>
      </c>
      <c r="V326" s="34">
        <f>SUBTOTAL(9,$K$3:$K326)</f>
        <v>0</v>
      </c>
      <c r="W326" s="35">
        <f>SUBTOTAL(9,$R$3:$R326)</f>
        <v>0</v>
      </c>
      <c r="X326" s="36">
        <f>SUBTOTAL(9,$S$3:$S326)</f>
        <v>0</v>
      </c>
      <c r="Y326" s="23">
        <f>SUBTOTAL(9,$L$3:$L326)</f>
        <v>0</v>
      </c>
      <c r="Z326" s="10">
        <f>SUBTOTAL(9,$M$3:$M326)</f>
        <v>0</v>
      </c>
    </row>
    <row r="327" spans="3:26" x14ac:dyDescent="0.25">
      <c r="C327" s="9" t="e">
        <f>LOOKUP($B327,Aircrafts!$A$2:$A$1048576,Aircrafts!$B$2:$B$1048576)</f>
        <v>#N/A</v>
      </c>
      <c r="D327" s="10" t="e">
        <f>LOOKUP($B327,Aircrafts!$A$2:$A$1048576,Aircrafts!$C$2:$C$1048576)</f>
        <v>#N/A</v>
      </c>
      <c r="F327" s="10" t="e">
        <f>LOOKUP($E327,Aerodromes!$A$2:$A$1048576,Aerodromes!$B$2:$B$1048576)</f>
        <v>#N/A</v>
      </c>
      <c r="H327" s="10" t="e">
        <f>LOOKUP($G327,Aerodromes!$A$2:$A$1048576,Aerodromes!$B$2:$B$1048576)</f>
        <v>#N/A</v>
      </c>
      <c r="K327" s="13">
        <f t="shared" si="5"/>
        <v>0</v>
      </c>
      <c r="V327" s="34">
        <f>SUBTOTAL(9,$K$3:$K327)</f>
        <v>0</v>
      </c>
      <c r="W327" s="35">
        <f>SUBTOTAL(9,$R$3:$R327)</f>
        <v>0</v>
      </c>
      <c r="X327" s="36">
        <f>SUBTOTAL(9,$S$3:$S327)</f>
        <v>0</v>
      </c>
      <c r="Y327" s="23">
        <f>SUBTOTAL(9,$L$3:$L327)</f>
        <v>0</v>
      </c>
      <c r="Z327" s="10">
        <f>SUBTOTAL(9,$M$3:$M327)</f>
        <v>0</v>
      </c>
    </row>
    <row r="328" spans="3:26" x14ac:dyDescent="0.25">
      <c r="C328" s="9" t="e">
        <f>LOOKUP($B328,Aircrafts!$A$2:$A$1048576,Aircrafts!$B$2:$B$1048576)</f>
        <v>#N/A</v>
      </c>
      <c r="D328" s="10" t="e">
        <f>LOOKUP($B328,Aircrafts!$A$2:$A$1048576,Aircrafts!$C$2:$C$1048576)</f>
        <v>#N/A</v>
      </c>
      <c r="F328" s="10" t="e">
        <f>LOOKUP($E328,Aerodromes!$A$2:$A$1048576,Aerodromes!$B$2:$B$1048576)</f>
        <v>#N/A</v>
      </c>
      <c r="H328" s="10" t="e">
        <f>LOOKUP($G328,Aerodromes!$A$2:$A$1048576,Aerodromes!$B$2:$B$1048576)</f>
        <v>#N/A</v>
      </c>
      <c r="K328" s="13">
        <f t="shared" si="5"/>
        <v>0</v>
      </c>
      <c r="V328" s="34">
        <f>SUBTOTAL(9,$K$3:$K328)</f>
        <v>0</v>
      </c>
      <c r="W328" s="35">
        <f>SUBTOTAL(9,$R$3:$R328)</f>
        <v>0</v>
      </c>
      <c r="X328" s="36">
        <f>SUBTOTAL(9,$S$3:$S328)</f>
        <v>0</v>
      </c>
      <c r="Y328" s="23">
        <f>SUBTOTAL(9,$L$3:$L328)</f>
        <v>0</v>
      </c>
      <c r="Z328" s="10">
        <f>SUBTOTAL(9,$M$3:$M328)</f>
        <v>0</v>
      </c>
    </row>
    <row r="329" spans="3:26" x14ac:dyDescent="0.25">
      <c r="C329" s="9" t="e">
        <f>LOOKUP($B329,Aircrafts!$A$2:$A$1048576,Aircrafts!$B$2:$B$1048576)</f>
        <v>#N/A</v>
      </c>
      <c r="D329" s="10" t="e">
        <f>LOOKUP($B329,Aircrafts!$A$2:$A$1048576,Aircrafts!$C$2:$C$1048576)</f>
        <v>#N/A</v>
      </c>
      <c r="F329" s="10" t="e">
        <f>LOOKUP($E329,Aerodromes!$A$2:$A$1048576,Aerodromes!$B$2:$B$1048576)</f>
        <v>#N/A</v>
      </c>
      <c r="H329" s="10" t="e">
        <f>LOOKUP($G329,Aerodromes!$A$2:$A$1048576,Aerodromes!$B$2:$B$1048576)</f>
        <v>#N/A</v>
      </c>
      <c r="K329" s="13">
        <f t="shared" si="5"/>
        <v>0</v>
      </c>
      <c r="V329" s="34">
        <f>SUBTOTAL(9,$K$3:$K329)</f>
        <v>0</v>
      </c>
      <c r="W329" s="35">
        <f>SUBTOTAL(9,$R$3:$R329)</f>
        <v>0</v>
      </c>
      <c r="X329" s="36">
        <f>SUBTOTAL(9,$S$3:$S329)</f>
        <v>0</v>
      </c>
      <c r="Y329" s="23">
        <f>SUBTOTAL(9,$L$3:$L329)</f>
        <v>0</v>
      </c>
      <c r="Z329" s="10">
        <f>SUBTOTAL(9,$M$3:$M329)</f>
        <v>0</v>
      </c>
    </row>
    <row r="330" spans="3:26" x14ac:dyDescent="0.25">
      <c r="C330" s="9" t="e">
        <f>LOOKUP($B330,Aircrafts!$A$2:$A$1048576,Aircrafts!$B$2:$B$1048576)</f>
        <v>#N/A</v>
      </c>
      <c r="D330" s="10" t="e">
        <f>LOOKUP($B330,Aircrafts!$A$2:$A$1048576,Aircrafts!$C$2:$C$1048576)</f>
        <v>#N/A</v>
      </c>
      <c r="F330" s="10" t="e">
        <f>LOOKUP($E330,Aerodromes!$A$2:$A$1048576,Aerodromes!$B$2:$B$1048576)</f>
        <v>#N/A</v>
      </c>
      <c r="H330" s="10" t="e">
        <f>LOOKUP($G330,Aerodromes!$A$2:$A$1048576,Aerodromes!$B$2:$B$1048576)</f>
        <v>#N/A</v>
      </c>
      <c r="K330" s="13">
        <f t="shared" si="5"/>
        <v>0</v>
      </c>
      <c r="V330" s="34">
        <f>SUBTOTAL(9,$K$3:$K330)</f>
        <v>0</v>
      </c>
      <c r="W330" s="35">
        <f>SUBTOTAL(9,$R$3:$R330)</f>
        <v>0</v>
      </c>
      <c r="X330" s="36">
        <f>SUBTOTAL(9,$S$3:$S330)</f>
        <v>0</v>
      </c>
      <c r="Y330" s="23">
        <f>SUBTOTAL(9,$L$3:$L330)</f>
        <v>0</v>
      </c>
      <c r="Z330" s="10">
        <f>SUBTOTAL(9,$M$3:$M330)</f>
        <v>0</v>
      </c>
    </row>
    <row r="331" spans="3:26" x14ac:dyDescent="0.25">
      <c r="C331" s="9" t="e">
        <f>LOOKUP($B331,Aircrafts!$A$2:$A$1048576,Aircrafts!$B$2:$B$1048576)</f>
        <v>#N/A</v>
      </c>
      <c r="D331" s="10" t="e">
        <f>LOOKUP($B331,Aircrafts!$A$2:$A$1048576,Aircrafts!$C$2:$C$1048576)</f>
        <v>#N/A</v>
      </c>
      <c r="F331" s="10" t="e">
        <f>LOOKUP($E331,Aerodromes!$A$2:$A$1048576,Aerodromes!$B$2:$B$1048576)</f>
        <v>#N/A</v>
      </c>
      <c r="H331" s="10" t="e">
        <f>LOOKUP($G331,Aerodromes!$A$2:$A$1048576,Aerodromes!$B$2:$B$1048576)</f>
        <v>#N/A</v>
      </c>
      <c r="K331" s="13">
        <f t="shared" si="5"/>
        <v>0</v>
      </c>
      <c r="V331" s="34">
        <f>SUBTOTAL(9,$K$3:$K331)</f>
        <v>0</v>
      </c>
      <c r="W331" s="35">
        <f>SUBTOTAL(9,$R$3:$R331)</f>
        <v>0</v>
      </c>
      <c r="X331" s="36">
        <f>SUBTOTAL(9,$S$3:$S331)</f>
        <v>0</v>
      </c>
      <c r="Y331" s="23">
        <f>SUBTOTAL(9,$L$3:$L331)</f>
        <v>0</v>
      </c>
      <c r="Z331" s="10">
        <f>SUBTOTAL(9,$M$3:$M331)</f>
        <v>0</v>
      </c>
    </row>
    <row r="332" spans="3:26" x14ac:dyDescent="0.25">
      <c r="C332" s="9" t="e">
        <f>LOOKUP($B332,Aircrafts!$A$2:$A$1048576,Aircrafts!$B$2:$B$1048576)</f>
        <v>#N/A</v>
      </c>
      <c r="D332" s="10" t="e">
        <f>LOOKUP($B332,Aircrafts!$A$2:$A$1048576,Aircrafts!$C$2:$C$1048576)</f>
        <v>#N/A</v>
      </c>
      <c r="F332" s="10" t="e">
        <f>LOOKUP($E332,Aerodromes!$A$2:$A$1048576,Aerodromes!$B$2:$B$1048576)</f>
        <v>#N/A</v>
      </c>
      <c r="H332" s="10" t="e">
        <f>LOOKUP($G332,Aerodromes!$A$2:$A$1048576,Aerodromes!$B$2:$B$1048576)</f>
        <v>#N/A</v>
      </c>
      <c r="K332" s="13">
        <f t="shared" si="5"/>
        <v>0</v>
      </c>
      <c r="V332" s="34">
        <f>SUBTOTAL(9,$K$3:$K332)</f>
        <v>0</v>
      </c>
      <c r="W332" s="35">
        <f>SUBTOTAL(9,$R$3:$R332)</f>
        <v>0</v>
      </c>
      <c r="X332" s="36">
        <f>SUBTOTAL(9,$S$3:$S332)</f>
        <v>0</v>
      </c>
      <c r="Y332" s="23">
        <f>SUBTOTAL(9,$L$3:$L332)</f>
        <v>0</v>
      </c>
      <c r="Z332" s="10">
        <f>SUBTOTAL(9,$M$3:$M332)</f>
        <v>0</v>
      </c>
    </row>
    <row r="333" spans="3:26" x14ac:dyDescent="0.25">
      <c r="C333" s="9" t="e">
        <f>LOOKUP($B333,Aircrafts!$A$2:$A$1048576,Aircrafts!$B$2:$B$1048576)</f>
        <v>#N/A</v>
      </c>
      <c r="D333" s="10" t="e">
        <f>LOOKUP($B333,Aircrafts!$A$2:$A$1048576,Aircrafts!$C$2:$C$1048576)</f>
        <v>#N/A</v>
      </c>
      <c r="F333" s="10" t="e">
        <f>LOOKUP($E333,Aerodromes!$A$2:$A$1048576,Aerodromes!$B$2:$B$1048576)</f>
        <v>#N/A</v>
      </c>
      <c r="H333" s="10" t="e">
        <f>LOOKUP($G333,Aerodromes!$A$2:$A$1048576,Aerodromes!$B$2:$B$1048576)</f>
        <v>#N/A</v>
      </c>
      <c r="K333" s="13">
        <f t="shared" si="5"/>
        <v>0</v>
      </c>
      <c r="V333" s="34">
        <f>SUBTOTAL(9,$K$3:$K333)</f>
        <v>0</v>
      </c>
      <c r="W333" s="35">
        <f>SUBTOTAL(9,$R$3:$R333)</f>
        <v>0</v>
      </c>
      <c r="X333" s="36">
        <f>SUBTOTAL(9,$S$3:$S333)</f>
        <v>0</v>
      </c>
      <c r="Y333" s="23">
        <f>SUBTOTAL(9,$L$3:$L333)</f>
        <v>0</v>
      </c>
      <c r="Z333" s="10">
        <f>SUBTOTAL(9,$M$3:$M333)</f>
        <v>0</v>
      </c>
    </row>
    <row r="334" spans="3:26" x14ac:dyDescent="0.25">
      <c r="C334" s="9" t="e">
        <f>LOOKUP($B334,Aircrafts!$A$2:$A$1048576,Aircrafts!$B$2:$B$1048576)</f>
        <v>#N/A</v>
      </c>
      <c r="D334" s="10" t="e">
        <f>LOOKUP($B334,Aircrafts!$A$2:$A$1048576,Aircrafts!$C$2:$C$1048576)</f>
        <v>#N/A</v>
      </c>
      <c r="F334" s="10" t="e">
        <f>LOOKUP($E334,Aerodromes!$A$2:$A$1048576,Aerodromes!$B$2:$B$1048576)</f>
        <v>#N/A</v>
      </c>
      <c r="H334" s="10" t="e">
        <f>LOOKUP($G334,Aerodromes!$A$2:$A$1048576,Aerodromes!$B$2:$B$1048576)</f>
        <v>#N/A</v>
      </c>
      <c r="K334" s="13">
        <f t="shared" si="5"/>
        <v>0</v>
      </c>
      <c r="V334" s="34">
        <f>SUBTOTAL(9,$K$3:$K334)</f>
        <v>0</v>
      </c>
      <c r="W334" s="35">
        <f>SUBTOTAL(9,$R$3:$R334)</f>
        <v>0</v>
      </c>
      <c r="X334" s="36">
        <f>SUBTOTAL(9,$S$3:$S334)</f>
        <v>0</v>
      </c>
      <c r="Y334" s="23">
        <f>SUBTOTAL(9,$L$3:$L334)</f>
        <v>0</v>
      </c>
      <c r="Z334" s="10">
        <f>SUBTOTAL(9,$M$3:$M334)</f>
        <v>0</v>
      </c>
    </row>
    <row r="335" spans="3:26" x14ac:dyDescent="0.25">
      <c r="C335" s="9" t="e">
        <f>LOOKUP($B335,Aircrafts!$A$2:$A$1048576,Aircrafts!$B$2:$B$1048576)</f>
        <v>#N/A</v>
      </c>
      <c r="D335" s="10" t="e">
        <f>LOOKUP($B335,Aircrafts!$A$2:$A$1048576,Aircrafts!$C$2:$C$1048576)</f>
        <v>#N/A</v>
      </c>
      <c r="F335" s="10" t="e">
        <f>LOOKUP($E335,Aerodromes!$A$2:$A$1048576,Aerodromes!$B$2:$B$1048576)</f>
        <v>#N/A</v>
      </c>
      <c r="H335" s="10" t="e">
        <f>LOOKUP($G335,Aerodromes!$A$2:$A$1048576,Aerodromes!$B$2:$B$1048576)</f>
        <v>#N/A</v>
      </c>
      <c r="K335" s="13">
        <f t="shared" si="5"/>
        <v>0</v>
      </c>
      <c r="V335" s="34">
        <f>SUBTOTAL(9,$K$3:$K335)</f>
        <v>0</v>
      </c>
      <c r="W335" s="35">
        <f>SUBTOTAL(9,$R$3:$R335)</f>
        <v>0</v>
      </c>
      <c r="X335" s="36">
        <f>SUBTOTAL(9,$S$3:$S335)</f>
        <v>0</v>
      </c>
      <c r="Y335" s="23">
        <f>SUBTOTAL(9,$L$3:$L335)</f>
        <v>0</v>
      </c>
      <c r="Z335" s="10">
        <f>SUBTOTAL(9,$M$3:$M335)</f>
        <v>0</v>
      </c>
    </row>
    <row r="336" spans="3:26" x14ac:dyDescent="0.25">
      <c r="C336" s="9" t="e">
        <f>LOOKUP($B336,Aircrafts!$A$2:$A$1048576,Aircrafts!$B$2:$B$1048576)</f>
        <v>#N/A</v>
      </c>
      <c r="D336" s="10" t="e">
        <f>LOOKUP($B336,Aircrafts!$A$2:$A$1048576,Aircrafts!$C$2:$C$1048576)</f>
        <v>#N/A</v>
      </c>
      <c r="F336" s="10" t="e">
        <f>LOOKUP($E336,Aerodromes!$A$2:$A$1048576,Aerodromes!$B$2:$B$1048576)</f>
        <v>#N/A</v>
      </c>
      <c r="H336" s="10" t="e">
        <f>LOOKUP($G336,Aerodromes!$A$2:$A$1048576,Aerodromes!$B$2:$B$1048576)</f>
        <v>#N/A</v>
      </c>
      <c r="K336" s="13">
        <f t="shared" si="5"/>
        <v>0</v>
      </c>
      <c r="V336" s="34">
        <f>SUBTOTAL(9,$K$3:$K336)</f>
        <v>0</v>
      </c>
      <c r="W336" s="35">
        <f>SUBTOTAL(9,$R$3:$R336)</f>
        <v>0</v>
      </c>
      <c r="X336" s="36">
        <f>SUBTOTAL(9,$S$3:$S336)</f>
        <v>0</v>
      </c>
      <c r="Y336" s="23">
        <f>SUBTOTAL(9,$L$3:$L336)</f>
        <v>0</v>
      </c>
      <c r="Z336" s="10">
        <f>SUBTOTAL(9,$M$3:$M336)</f>
        <v>0</v>
      </c>
    </row>
    <row r="337" spans="3:26" x14ac:dyDescent="0.25">
      <c r="C337" s="9" t="e">
        <f>LOOKUP($B337,Aircrafts!$A$2:$A$1048576,Aircrafts!$B$2:$B$1048576)</f>
        <v>#N/A</v>
      </c>
      <c r="D337" s="10" t="e">
        <f>LOOKUP($B337,Aircrafts!$A$2:$A$1048576,Aircrafts!$C$2:$C$1048576)</f>
        <v>#N/A</v>
      </c>
      <c r="F337" s="10" t="e">
        <f>LOOKUP($E337,Aerodromes!$A$2:$A$1048576,Aerodromes!$B$2:$B$1048576)</f>
        <v>#N/A</v>
      </c>
      <c r="H337" s="10" t="e">
        <f>LOOKUP($G337,Aerodromes!$A$2:$A$1048576,Aerodromes!$B$2:$B$1048576)</f>
        <v>#N/A</v>
      </c>
      <c r="K337" s="13">
        <f t="shared" si="5"/>
        <v>0</v>
      </c>
      <c r="V337" s="34">
        <f>SUBTOTAL(9,$K$3:$K337)</f>
        <v>0</v>
      </c>
      <c r="W337" s="35">
        <f>SUBTOTAL(9,$R$3:$R337)</f>
        <v>0</v>
      </c>
      <c r="X337" s="36">
        <f>SUBTOTAL(9,$S$3:$S337)</f>
        <v>0</v>
      </c>
      <c r="Y337" s="23">
        <f>SUBTOTAL(9,$L$3:$L337)</f>
        <v>0</v>
      </c>
      <c r="Z337" s="10">
        <f>SUBTOTAL(9,$M$3:$M337)</f>
        <v>0</v>
      </c>
    </row>
    <row r="338" spans="3:26" x14ac:dyDescent="0.25">
      <c r="C338" s="9" t="e">
        <f>LOOKUP($B338,Aircrafts!$A$2:$A$1048576,Aircrafts!$B$2:$B$1048576)</f>
        <v>#N/A</v>
      </c>
      <c r="D338" s="10" t="e">
        <f>LOOKUP($B338,Aircrafts!$A$2:$A$1048576,Aircrafts!$C$2:$C$1048576)</f>
        <v>#N/A</v>
      </c>
      <c r="F338" s="10" t="e">
        <f>LOOKUP($E338,Aerodromes!$A$2:$A$1048576,Aerodromes!$B$2:$B$1048576)</f>
        <v>#N/A</v>
      </c>
      <c r="H338" s="10" t="e">
        <f>LOOKUP($G338,Aerodromes!$A$2:$A$1048576,Aerodromes!$B$2:$B$1048576)</f>
        <v>#N/A</v>
      </c>
      <c r="K338" s="13">
        <f t="shared" si="5"/>
        <v>0</v>
      </c>
      <c r="V338" s="34">
        <f>SUBTOTAL(9,$K$3:$K338)</f>
        <v>0</v>
      </c>
      <c r="W338" s="35">
        <f>SUBTOTAL(9,$R$3:$R338)</f>
        <v>0</v>
      </c>
      <c r="X338" s="36">
        <f>SUBTOTAL(9,$S$3:$S338)</f>
        <v>0</v>
      </c>
      <c r="Y338" s="23">
        <f>SUBTOTAL(9,$L$3:$L338)</f>
        <v>0</v>
      </c>
      <c r="Z338" s="10">
        <f>SUBTOTAL(9,$M$3:$M338)</f>
        <v>0</v>
      </c>
    </row>
    <row r="339" spans="3:26" x14ac:dyDescent="0.25">
      <c r="C339" s="9" t="e">
        <f>LOOKUP($B339,Aircrafts!$A$2:$A$1048576,Aircrafts!$B$2:$B$1048576)</f>
        <v>#N/A</v>
      </c>
      <c r="D339" s="10" t="e">
        <f>LOOKUP($B339,Aircrafts!$A$2:$A$1048576,Aircrafts!$C$2:$C$1048576)</f>
        <v>#N/A</v>
      </c>
      <c r="F339" s="10" t="e">
        <f>LOOKUP($E339,Aerodromes!$A$2:$A$1048576,Aerodromes!$B$2:$B$1048576)</f>
        <v>#N/A</v>
      </c>
      <c r="H339" s="10" t="e">
        <f>LOOKUP($G339,Aerodromes!$A$2:$A$1048576,Aerodromes!$B$2:$B$1048576)</f>
        <v>#N/A</v>
      </c>
      <c r="K339" s="13">
        <f t="shared" si="5"/>
        <v>0</v>
      </c>
      <c r="V339" s="34">
        <f>SUBTOTAL(9,$K$3:$K339)</f>
        <v>0</v>
      </c>
      <c r="W339" s="35">
        <f>SUBTOTAL(9,$R$3:$R339)</f>
        <v>0</v>
      </c>
      <c r="X339" s="36">
        <f>SUBTOTAL(9,$S$3:$S339)</f>
        <v>0</v>
      </c>
      <c r="Y339" s="23">
        <f>SUBTOTAL(9,$L$3:$L339)</f>
        <v>0</v>
      </c>
      <c r="Z339" s="10">
        <f>SUBTOTAL(9,$M$3:$M339)</f>
        <v>0</v>
      </c>
    </row>
    <row r="340" spans="3:26" x14ac:dyDescent="0.25">
      <c r="C340" s="9" t="e">
        <f>LOOKUP($B340,Aircrafts!$A$2:$A$1048576,Aircrafts!$B$2:$B$1048576)</f>
        <v>#N/A</v>
      </c>
      <c r="D340" s="10" t="e">
        <f>LOOKUP($B340,Aircrafts!$A$2:$A$1048576,Aircrafts!$C$2:$C$1048576)</f>
        <v>#N/A</v>
      </c>
      <c r="F340" s="10" t="e">
        <f>LOOKUP($E340,Aerodromes!$A$2:$A$1048576,Aerodromes!$B$2:$B$1048576)</f>
        <v>#N/A</v>
      </c>
      <c r="H340" s="10" t="e">
        <f>LOOKUP($G340,Aerodromes!$A$2:$A$1048576,Aerodromes!$B$2:$B$1048576)</f>
        <v>#N/A</v>
      </c>
      <c r="K340" s="13">
        <f t="shared" si="5"/>
        <v>0</v>
      </c>
      <c r="V340" s="34">
        <f>SUBTOTAL(9,$K$3:$K340)</f>
        <v>0</v>
      </c>
      <c r="W340" s="35">
        <f>SUBTOTAL(9,$R$3:$R340)</f>
        <v>0</v>
      </c>
      <c r="X340" s="36">
        <f>SUBTOTAL(9,$S$3:$S340)</f>
        <v>0</v>
      </c>
      <c r="Y340" s="23">
        <f>SUBTOTAL(9,$L$3:$L340)</f>
        <v>0</v>
      </c>
      <c r="Z340" s="10">
        <f>SUBTOTAL(9,$M$3:$M340)</f>
        <v>0</v>
      </c>
    </row>
    <row r="341" spans="3:26" x14ac:dyDescent="0.25">
      <c r="C341" s="9" t="e">
        <f>LOOKUP($B341,Aircrafts!$A$2:$A$1048576,Aircrafts!$B$2:$B$1048576)</f>
        <v>#N/A</v>
      </c>
      <c r="D341" s="10" t="e">
        <f>LOOKUP($B341,Aircrafts!$A$2:$A$1048576,Aircrafts!$C$2:$C$1048576)</f>
        <v>#N/A</v>
      </c>
      <c r="F341" s="10" t="e">
        <f>LOOKUP($E341,Aerodromes!$A$2:$A$1048576,Aerodromes!$B$2:$B$1048576)</f>
        <v>#N/A</v>
      </c>
      <c r="H341" s="10" t="e">
        <f>LOOKUP($G341,Aerodromes!$A$2:$A$1048576,Aerodromes!$B$2:$B$1048576)</f>
        <v>#N/A</v>
      </c>
      <c r="K341" s="13">
        <f t="shared" si="5"/>
        <v>0</v>
      </c>
      <c r="V341" s="34">
        <f>SUBTOTAL(9,$K$3:$K341)</f>
        <v>0</v>
      </c>
      <c r="W341" s="35">
        <f>SUBTOTAL(9,$R$3:$R341)</f>
        <v>0</v>
      </c>
      <c r="X341" s="36">
        <f>SUBTOTAL(9,$S$3:$S341)</f>
        <v>0</v>
      </c>
      <c r="Y341" s="23">
        <f>SUBTOTAL(9,$L$3:$L341)</f>
        <v>0</v>
      </c>
      <c r="Z341" s="10">
        <f>SUBTOTAL(9,$M$3:$M341)</f>
        <v>0</v>
      </c>
    </row>
    <row r="342" spans="3:26" x14ac:dyDescent="0.25">
      <c r="C342" s="9" t="e">
        <f>LOOKUP($B342,Aircrafts!$A$2:$A$1048576,Aircrafts!$B$2:$B$1048576)</f>
        <v>#N/A</v>
      </c>
      <c r="D342" s="10" t="e">
        <f>LOOKUP($B342,Aircrafts!$A$2:$A$1048576,Aircrafts!$C$2:$C$1048576)</f>
        <v>#N/A</v>
      </c>
      <c r="F342" s="10" t="e">
        <f>LOOKUP($E342,Aerodromes!$A$2:$A$1048576,Aerodromes!$B$2:$B$1048576)</f>
        <v>#N/A</v>
      </c>
      <c r="H342" s="10" t="e">
        <f>LOOKUP($G342,Aerodromes!$A$2:$A$1048576,Aerodromes!$B$2:$B$1048576)</f>
        <v>#N/A</v>
      </c>
      <c r="K342" s="13">
        <f t="shared" si="5"/>
        <v>0</v>
      </c>
      <c r="V342" s="34">
        <f>SUBTOTAL(9,$K$3:$K342)</f>
        <v>0</v>
      </c>
      <c r="W342" s="35">
        <f>SUBTOTAL(9,$R$3:$R342)</f>
        <v>0</v>
      </c>
      <c r="X342" s="36">
        <f>SUBTOTAL(9,$S$3:$S342)</f>
        <v>0</v>
      </c>
      <c r="Y342" s="23">
        <f>SUBTOTAL(9,$L$3:$L342)</f>
        <v>0</v>
      </c>
      <c r="Z342" s="10">
        <f>SUBTOTAL(9,$M$3:$M342)</f>
        <v>0</v>
      </c>
    </row>
    <row r="343" spans="3:26" x14ac:dyDescent="0.25">
      <c r="C343" s="9" t="e">
        <f>LOOKUP($B343,Aircrafts!$A$2:$A$1048576,Aircrafts!$B$2:$B$1048576)</f>
        <v>#N/A</v>
      </c>
      <c r="D343" s="10" t="e">
        <f>LOOKUP($B343,Aircrafts!$A$2:$A$1048576,Aircrafts!$C$2:$C$1048576)</f>
        <v>#N/A</v>
      </c>
      <c r="F343" s="10" t="e">
        <f>LOOKUP($E343,Aerodromes!$A$2:$A$1048576,Aerodromes!$B$2:$B$1048576)</f>
        <v>#N/A</v>
      </c>
      <c r="H343" s="10" t="e">
        <f>LOOKUP($G343,Aerodromes!$A$2:$A$1048576,Aerodromes!$B$2:$B$1048576)</f>
        <v>#N/A</v>
      </c>
      <c r="K343" s="13">
        <f t="shared" si="5"/>
        <v>0</v>
      </c>
      <c r="V343" s="34">
        <f>SUBTOTAL(9,$K$3:$K343)</f>
        <v>0</v>
      </c>
      <c r="W343" s="35">
        <f>SUBTOTAL(9,$R$3:$R343)</f>
        <v>0</v>
      </c>
      <c r="X343" s="36">
        <f>SUBTOTAL(9,$S$3:$S343)</f>
        <v>0</v>
      </c>
      <c r="Y343" s="23">
        <f>SUBTOTAL(9,$L$3:$L343)</f>
        <v>0</v>
      </c>
      <c r="Z343" s="10">
        <f>SUBTOTAL(9,$M$3:$M343)</f>
        <v>0</v>
      </c>
    </row>
    <row r="344" spans="3:26" x14ac:dyDescent="0.25">
      <c r="C344" s="9" t="e">
        <f>LOOKUP($B344,Aircrafts!$A$2:$A$1048576,Aircrafts!$B$2:$B$1048576)</f>
        <v>#N/A</v>
      </c>
      <c r="D344" s="10" t="e">
        <f>LOOKUP($B344,Aircrafts!$A$2:$A$1048576,Aircrafts!$C$2:$C$1048576)</f>
        <v>#N/A</v>
      </c>
      <c r="F344" s="10" t="e">
        <f>LOOKUP($E344,Aerodromes!$A$2:$A$1048576,Aerodromes!$B$2:$B$1048576)</f>
        <v>#N/A</v>
      </c>
      <c r="H344" s="10" t="e">
        <f>LOOKUP($G344,Aerodromes!$A$2:$A$1048576,Aerodromes!$B$2:$B$1048576)</f>
        <v>#N/A</v>
      </c>
      <c r="K344" s="13">
        <f t="shared" si="5"/>
        <v>0</v>
      </c>
      <c r="V344" s="34">
        <f>SUBTOTAL(9,$K$3:$K344)</f>
        <v>0</v>
      </c>
      <c r="W344" s="35">
        <f>SUBTOTAL(9,$R$3:$R344)</f>
        <v>0</v>
      </c>
      <c r="X344" s="36">
        <f>SUBTOTAL(9,$S$3:$S344)</f>
        <v>0</v>
      </c>
      <c r="Y344" s="23">
        <f>SUBTOTAL(9,$L$3:$L344)</f>
        <v>0</v>
      </c>
      <c r="Z344" s="10">
        <f>SUBTOTAL(9,$M$3:$M344)</f>
        <v>0</v>
      </c>
    </row>
    <row r="345" spans="3:26" x14ac:dyDescent="0.25">
      <c r="C345" s="9" t="e">
        <f>LOOKUP($B345,Aircrafts!$A$2:$A$1048576,Aircrafts!$B$2:$B$1048576)</f>
        <v>#N/A</v>
      </c>
      <c r="D345" s="10" t="e">
        <f>LOOKUP($B345,Aircrafts!$A$2:$A$1048576,Aircrafts!$C$2:$C$1048576)</f>
        <v>#N/A</v>
      </c>
      <c r="F345" s="10" t="e">
        <f>LOOKUP($E345,Aerodromes!$A$2:$A$1048576,Aerodromes!$B$2:$B$1048576)</f>
        <v>#N/A</v>
      </c>
      <c r="H345" s="10" t="e">
        <f>LOOKUP($G345,Aerodromes!$A$2:$A$1048576,Aerodromes!$B$2:$B$1048576)</f>
        <v>#N/A</v>
      </c>
      <c r="K345" s="13">
        <f t="shared" si="5"/>
        <v>0</v>
      </c>
      <c r="V345" s="34">
        <f>SUBTOTAL(9,$K$3:$K345)</f>
        <v>0</v>
      </c>
      <c r="W345" s="35">
        <f>SUBTOTAL(9,$R$3:$R345)</f>
        <v>0</v>
      </c>
      <c r="X345" s="36">
        <f>SUBTOTAL(9,$S$3:$S345)</f>
        <v>0</v>
      </c>
      <c r="Y345" s="23">
        <f>SUBTOTAL(9,$L$3:$L345)</f>
        <v>0</v>
      </c>
      <c r="Z345" s="10">
        <f>SUBTOTAL(9,$M$3:$M345)</f>
        <v>0</v>
      </c>
    </row>
    <row r="346" spans="3:26" x14ac:dyDescent="0.25">
      <c r="C346" s="9" t="e">
        <f>LOOKUP($B346,Aircrafts!$A$2:$A$1048576,Aircrafts!$B$2:$B$1048576)</f>
        <v>#N/A</v>
      </c>
      <c r="D346" s="10" t="e">
        <f>LOOKUP($B346,Aircrafts!$A$2:$A$1048576,Aircrafts!$C$2:$C$1048576)</f>
        <v>#N/A</v>
      </c>
      <c r="F346" s="10" t="e">
        <f>LOOKUP($E346,Aerodromes!$A$2:$A$1048576,Aerodromes!$B$2:$B$1048576)</f>
        <v>#N/A</v>
      </c>
      <c r="H346" s="10" t="e">
        <f>LOOKUP($G346,Aerodromes!$A$2:$A$1048576,Aerodromes!$B$2:$B$1048576)</f>
        <v>#N/A</v>
      </c>
      <c r="K346" s="13">
        <f t="shared" si="5"/>
        <v>0</v>
      </c>
      <c r="V346" s="34">
        <f>SUBTOTAL(9,$K$3:$K346)</f>
        <v>0</v>
      </c>
      <c r="W346" s="35">
        <f>SUBTOTAL(9,$R$3:$R346)</f>
        <v>0</v>
      </c>
      <c r="X346" s="36">
        <f>SUBTOTAL(9,$S$3:$S346)</f>
        <v>0</v>
      </c>
      <c r="Y346" s="23">
        <f>SUBTOTAL(9,$L$3:$L346)</f>
        <v>0</v>
      </c>
      <c r="Z346" s="10">
        <f>SUBTOTAL(9,$M$3:$M346)</f>
        <v>0</v>
      </c>
    </row>
    <row r="347" spans="3:26" x14ac:dyDescent="0.25">
      <c r="C347" s="9" t="e">
        <f>LOOKUP($B347,Aircrafts!$A$2:$A$1048576,Aircrafts!$B$2:$B$1048576)</f>
        <v>#N/A</v>
      </c>
      <c r="D347" s="10" t="e">
        <f>LOOKUP($B347,Aircrafts!$A$2:$A$1048576,Aircrafts!$C$2:$C$1048576)</f>
        <v>#N/A</v>
      </c>
      <c r="F347" s="10" t="e">
        <f>LOOKUP($E347,Aerodromes!$A$2:$A$1048576,Aerodromes!$B$2:$B$1048576)</f>
        <v>#N/A</v>
      </c>
      <c r="H347" s="10" t="e">
        <f>LOOKUP($G347,Aerodromes!$A$2:$A$1048576,Aerodromes!$B$2:$B$1048576)</f>
        <v>#N/A</v>
      </c>
      <c r="K347" s="13">
        <f t="shared" si="5"/>
        <v>0</v>
      </c>
      <c r="V347" s="34">
        <f>SUBTOTAL(9,$K$3:$K347)</f>
        <v>0</v>
      </c>
      <c r="W347" s="35">
        <f>SUBTOTAL(9,$R$3:$R347)</f>
        <v>0</v>
      </c>
      <c r="X347" s="36">
        <f>SUBTOTAL(9,$S$3:$S347)</f>
        <v>0</v>
      </c>
      <c r="Y347" s="23">
        <f>SUBTOTAL(9,$L$3:$L347)</f>
        <v>0</v>
      </c>
      <c r="Z347" s="10">
        <f>SUBTOTAL(9,$M$3:$M347)</f>
        <v>0</v>
      </c>
    </row>
    <row r="348" spans="3:26" x14ac:dyDescent="0.25">
      <c r="C348" s="9" t="e">
        <f>LOOKUP($B348,Aircrafts!$A$2:$A$1048576,Aircrafts!$B$2:$B$1048576)</f>
        <v>#N/A</v>
      </c>
      <c r="D348" s="10" t="e">
        <f>LOOKUP($B348,Aircrafts!$A$2:$A$1048576,Aircrafts!$C$2:$C$1048576)</f>
        <v>#N/A</v>
      </c>
      <c r="F348" s="10" t="e">
        <f>LOOKUP($E348,Aerodromes!$A$2:$A$1048576,Aerodromes!$B$2:$B$1048576)</f>
        <v>#N/A</v>
      </c>
      <c r="H348" s="10" t="e">
        <f>LOOKUP($G348,Aerodromes!$A$2:$A$1048576,Aerodromes!$B$2:$B$1048576)</f>
        <v>#N/A</v>
      </c>
      <c r="K348" s="13">
        <f t="shared" si="5"/>
        <v>0</v>
      </c>
      <c r="V348" s="34">
        <f>SUBTOTAL(9,$K$3:$K348)</f>
        <v>0</v>
      </c>
      <c r="W348" s="35">
        <f>SUBTOTAL(9,$R$3:$R348)</f>
        <v>0</v>
      </c>
      <c r="X348" s="36">
        <f>SUBTOTAL(9,$S$3:$S348)</f>
        <v>0</v>
      </c>
      <c r="Y348" s="23">
        <f>SUBTOTAL(9,$L$3:$L348)</f>
        <v>0</v>
      </c>
      <c r="Z348" s="10">
        <f>SUBTOTAL(9,$M$3:$M348)</f>
        <v>0</v>
      </c>
    </row>
    <row r="349" spans="3:26" x14ac:dyDescent="0.25">
      <c r="C349" s="9" t="e">
        <f>LOOKUP($B349,Aircrafts!$A$2:$A$1048576,Aircrafts!$B$2:$B$1048576)</f>
        <v>#N/A</v>
      </c>
      <c r="D349" s="10" t="e">
        <f>LOOKUP($B349,Aircrafts!$A$2:$A$1048576,Aircrafts!$C$2:$C$1048576)</f>
        <v>#N/A</v>
      </c>
      <c r="F349" s="10" t="e">
        <f>LOOKUP($E349,Aerodromes!$A$2:$A$1048576,Aerodromes!$B$2:$B$1048576)</f>
        <v>#N/A</v>
      </c>
      <c r="H349" s="10" t="e">
        <f>LOOKUP($G349,Aerodromes!$A$2:$A$1048576,Aerodromes!$B$2:$B$1048576)</f>
        <v>#N/A</v>
      </c>
      <c r="K349" s="13">
        <f t="shared" si="5"/>
        <v>0</v>
      </c>
      <c r="V349" s="34">
        <f>SUBTOTAL(9,$K$3:$K349)</f>
        <v>0</v>
      </c>
      <c r="W349" s="35">
        <f>SUBTOTAL(9,$R$3:$R349)</f>
        <v>0</v>
      </c>
      <c r="X349" s="36">
        <f>SUBTOTAL(9,$S$3:$S349)</f>
        <v>0</v>
      </c>
      <c r="Y349" s="23">
        <f>SUBTOTAL(9,$L$3:$L349)</f>
        <v>0</v>
      </c>
      <c r="Z349" s="10">
        <f>SUBTOTAL(9,$M$3:$M349)</f>
        <v>0</v>
      </c>
    </row>
    <row r="350" spans="3:26" x14ac:dyDescent="0.25">
      <c r="C350" s="9" t="e">
        <f>LOOKUP($B350,Aircrafts!$A$2:$A$1048576,Aircrafts!$B$2:$B$1048576)</f>
        <v>#N/A</v>
      </c>
      <c r="D350" s="10" t="e">
        <f>LOOKUP($B350,Aircrafts!$A$2:$A$1048576,Aircrafts!$C$2:$C$1048576)</f>
        <v>#N/A</v>
      </c>
      <c r="F350" s="10" t="e">
        <f>LOOKUP($E350,Aerodromes!$A$2:$A$1048576,Aerodromes!$B$2:$B$1048576)</f>
        <v>#N/A</v>
      </c>
      <c r="H350" s="10" t="e">
        <f>LOOKUP($G350,Aerodromes!$A$2:$A$1048576,Aerodromes!$B$2:$B$1048576)</f>
        <v>#N/A</v>
      </c>
      <c r="K350" s="13">
        <f t="shared" si="5"/>
        <v>0</v>
      </c>
      <c r="V350" s="34">
        <f>SUBTOTAL(9,$K$3:$K350)</f>
        <v>0</v>
      </c>
      <c r="W350" s="35">
        <f>SUBTOTAL(9,$R$3:$R350)</f>
        <v>0</v>
      </c>
      <c r="X350" s="36">
        <f>SUBTOTAL(9,$S$3:$S350)</f>
        <v>0</v>
      </c>
      <c r="Y350" s="23">
        <f>SUBTOTAL(9,$L$3:$L350)</f>
        <v>0</v>
      </c>
      <c r="Z350" s="10">
        <f>SUBTOTAL(9,$M$3:$M350)</f>
        <v>0</v>
      </c>
    </row>
    <row r="351" spans="3:26" x14ac:dyDescent="0.25">
      <c r="C351" s="9" t="e">
        <f>LOOKUP($B351,Aircrafts!$A$2:$A$1048576,Aircrafts!$B$2:$B$1048576)</f>
        <v>#N/A</v>
      </c>
      <c r="D351" s="10" t="e">
        <f>LOOKUP($B351,Aircrafts!$A$2:$A$1048576,Aircrafts!$C$2:$C$1048576)</f>
        <v>#N/A</v>
      </c>
      <c r="F351" s="10" t="e">
        <f>LOOKUP($E351,Aerodromes!$A$2:$A$1048576,Aerodromes!$B$2:$B$1048576)</f>
        <v>#N/A</v>
      </c>
      <c r="H351" s="10" t="e">
        <f>LOOKUP($G351,Aerodromes!$A$2:$A$1048576,Aerodromes!$B$2:$B$1048576)</f>
        <v>#N/A</v>
      </c>
      <c r="K351" s="13">
        <f t="shared" si="5"/>
        <v>0</v>
      </c>
      <c r="V351" s="34">
        <f>SUBTOTAL(9,$K$3:$K351)</f>
        <v>0</v>
      </c>
      <c r="W351" s="35">
        <f>SUBTOTAL(9,$R$3:$R351)</f>
        <v>0</v>
      </c>
      <c r="X351" s="36">
        <f>SUBTOTAL(9,$S$3:$S351)</f>
        <v>0</v>
      </c>
      <c r="Y351" s="23">
        <f>SUBTOTAL(9,$L$3:$L351)</f>
        <v>0</v>
      </c>
      <c r="Z351" s="10">
        <f>SUBTOTAL(9,$M$3:$M351)</f>
        <v>0</v>
      </c>
    </row>
    <row r="352" spans="3:26" x14ac:dyDescent="0.25">
      <c r="C352" s="9" t="e">
        <f>LOOKUP($B352,Aircrafts!$A$2:$A$1048576,Aircrafts!$B$2:$B$1048576)</f>
        <v>#N/A</v>
      </c>
      <c r="D352" s="10" t="e">
        <f>LOOKUP($B352,Aircrafts!$A$2:$A$1048576,Aircrafts!$C$2:$C$1048576)</f>
        <v>#N/A</v>
      </c>
      <c r="F352" s="10" t="e">
        <f>LOOKUP($E352,Aerodromes!$A$2:$A$1048576,Aerodromes!$B$2:$B$1048576)</f>
        <v>#N/A</v>
      </c>
      <c r="H352" s="10" t="e">
        <f>LOOKUP($G352,Aerodromes!$A$2:$A$1048576,Aerodromes!$B$2:$B$1048576)</f>
        <v>#N/A</v>
      </c>
      <c r="K352" s="13">
        <f t="shared" si="5"/>
        <v>0</v>
      </c>
      <c r="V352" s="34">
        <f>SUBTOTAL(9,$K$3:$K352)</f>
        <v>0</v>
      </c>
      <c r="W352" s="35">
        <f>SUBTOTAL(9,$R$3:$R352)</f>
        <v>0</v>
      </c>
      <c r="X352" s="36">
        <f>SUBTOTAL(9,$S$3:$S352)</f>
        <v>0</v>
      </c>
      <c r="Y352" s="23">
        <f>SUBTOTAL(9,$L$3:$L352)</f>
        <v>0</v>
      </c>
      <c r="Z352" s="10">
        <f>SUBTOTAL(9,$M$3:$M352)</f>
        <v>0</v>
      </c>
    </row>
    <row r="353" spans="3:26" x14ac:dyDescent="0.25">
      <c r="C353" s="9" t="e">
        <f>LOOKUP($B353,Aircrafts!$A$2:$A$1048576,Aircrafts!$B$2:$B$1048576)</f>
        <v>#N/A</v>
      </c>
      <c r="D353" s="10" t="e">
        <f>LOOKUP($B353,Aircrafts!$A$2:$A$1048576,Aircrafts!$C$2:$C$1048576)</f>
        <v>#N/A</v>
      </c>
      <c r="F353" s="10" t="e">
        <f>LOOKUP($E353,Aerodromes!$A$2:$A$1048576,Aerodromes!$B$2:$B$1048576)</f>
        <v>#N/A</v>
      </c>
      <c r="H353" s="10" t="e">
        <f>LOOKUP($G353,Aerodromes!$A$2:$A$1048576,Aerodromes!$B$2:$B$1048576)</f>
        <v>#N/A</v>
      </c>
      <c r="K353" s="13">
        <f t="shared" si="5"/>
        <v>0</v>
      </c>
      <c r="V353" s="34">
        <f>SUBTOTAL(9,$K$3:$K353)</f>
        <v>0</v>
      </c>
      <c r="W353" s="35">
        <f>SUBTOTAL(9,$R$3:$R353)</f>
        <v>0</v>
      </c>
      <c r="X353" s="36">
        <f>SUBTOTAL(9,$S$3:$S353)</f>
        <v>0</v>
      </c>
      <c r="Y353" s="23">
        <f>SUBTOTAL(9,$L$3:$L353)</f>
        <v>0</v>
      </c>
      <c r="Z353" s="10">
        <f>SUBTOTAL(9,$M$3:$M353)</f>
        <v>0</v>
      </c>
    </row>
    <row r="354" spans="3:26" x14ac:dyDescent="0.25">
      <c r="C354" s="9" t="e">
        <f>LOOKUP($B354,Aircrafts!$A$2:$A$1048576,Aircrafts!$B$2:$B$1048576)</f>
        <v>#N/A</v>
      </c>
      <c r="D354" s="10" t="e">
        <f>LOOKUP($B354,Aircrafts!$A$2:$A$1048576,Aircrafts!$C$2:$C$1048576)</f>
        <v>#N/A</v>
      </c>
      <c r="F354" s="10" t="e">
        <f>LOOKUP($E354,Aerodromes!$A$2:$A$1048576,Aerodromes!$B$2:$B$1048576)</f>
        <v>#N/A</v>
      </c>
      <c r="H354" s="10" t="e">
        <f>LOOKUP($G354,Aerodromes!$A$2:$A$1048576,Aerodromes!$B$2:$B$1048576)</f>
        <v>#N/A</v>
      </c>
      <c r="K354" s="13">
        <f t="shared" si="5"/>
        <v>0</v>
      </c>
      <c r="V354" s="34">
        <f>SUBTOTAL(9,$K$3:$K354)</f>
        <v>0</v>
      </c>
      <c r="W354" s="35">
        <f>SUBTOTAL(9,$R$3:$R354)</f>
        <v>0</v>
      </c>
      <c r="X354" s="36">
        <f>SUBTOTAL(9,$S$3:$S354)</f>
        <v>0</v>
      </c>
      <c r="Y354" s="23">
        <f>SUBTOTAL(9,$L$3:$L354)</f>
        <v>0</v>
      </c>
      <c r="Z354" s="10">
        <f>SUBTOTAL(9,$M$3:$M354)</f>
        <v>0</v>
      </c>
    </row>
    <row r="355" spans="3:26" x14ac:dyDescent="0.25">
      <c r="C355" s="9" t="e">
        <f>LOOKUP($B355,Aircrafts!$A$2:$A$1048576,Aircrafts!$B$2:$B$1048576)</f>
        <v>#N/A</v>
      </c>
      <c r="D355" s="10" t="e">
        <f>LOOKUP($B355,Aircrafts!$A$2:$A$1048576,Aircrafts!$C$2:$C$1048576)</f>
        <v>#N/A</v>
      </c>
      <c r="F355" s="10" t="e">
        <f>LOOKUP($E355,Aerodromes!$A$2:$A$1048576,Aerodromes!$B$2:$B$1048576)</f>
        <v>#N/A</v>
      </c>
      <c r="H355" s="10" t="e">
        <f>LOOKUP($G355,Aerodromes!$A$2:$A$1048576,Aerodromes!$B$2:$B$1048576)</f>
        <v>#N/A</v>
      </c>
      <c r="K355" s="13">
        <f t="shared" si="5"/>
        <v>0</v>
      </c>
      <c r="V355" s="34">
        <f>SUBTOTAL(9,$K$3:$K355)</f>
        <v>0</v>
      </c>
      <c r="W355" s="35">
        <f>SUBTOTAL(9,$R$3:$R355)</f>
        <v>0</v>
      </c>
      <c r="X355" s="36">
        <f>SUBTOTAL(9,$S$3:$S355)</f>
        <v>0</v>
      </c>
      <c r="Y355" s="23">
        <f>SUBTOTAL(9,$L$3:$L355)</f>
        <v>0</v>
      </c>
      <c r="Z355" s="10">
        <f>SUBTOTAL(9,$M$3:$M355)</f>
        <v>0</v>
      </c>
    </row>
    <row r="356" spans="3:26" x14ac:dyDescent="0.25">
      <c r="C356" s="9" t="e">
        <f>LOOKUP($B356,Aircrafts!$A$2:$A$1048576,Aircrafts!$B$2:$B$1048576)</f>
        <v>#N/A</v>
      </c>
      <c r="D356" s="10" t="e">
        <f>LOOKUP($B356,Aircrafts!$A$2:$A$1048576,Aircrafts!$C$2:$C$1048576)</f>
        <v>#N/A</v>
      </c>
      <c r="F356" s="10" t="e">
        <f>LOOKUP($E356,Aerodromes!$A$2:$A$1048576,Aerodromes!$B$2:$B$1048576)</f>
        <v>#N/A</v>
      </c>
      <c r="H356" s="10" t="e">
        <f>LOOKUP($G356,Aerodromes!$A$2:$A$1048576,Aerodromes!$B$2:$B$1048576)</f>
        <v>#N/A</v>
      </c>
      <c r="K356" s="13">
        <f t="shared" si="5"/>
        <v>0</v>
      </c>
      <c r="V356" s="34">
        <f>SUBTOTAL(9,$K$3:$K356)</f>
        <v>0</v>
      </c>
      <c r="W356" s="35">
        <f>SUBTOTAL(9,$R$3:$R356)</f>
        <v>0</v>
      </c>
      <c r="X356" s="36">
        <f>SUBTOTAL(9,$S$3:$S356)</f>
        <v>0</v>
      </c>
      <c r="Y356" s="23">
        <f>SUBTOTAL(9,$L$3:$L356)</f>
        <v>0</v>
      </c>
      <c r="Z356" s="10">
        <f>SUBTOTAL(9,$M$3:$M356)</f>
        <v>0</v>
      </c>
    </row>
    <row r="357" spans="3:26" x14ac:dyDescent="0.25">
      <c r="C357" s="9" t="e">
        <f>LOOKUP($B357,Aircrafts!$A$2:$A$1048576,Aircrafts!$B$2:$B$1048576)</f>
        <v>#N/A</v>
      </c>
      <c r="D357" s="10" t="e">
        <f>LOOKUP($B357,Aircrafts!$A$2:$A$1048576,Aircrafts!$C$2:$C$1048576)</f>
        <v>#N/A</v>
      </c>
      <c r="F357" s="10" t="e">
        <f>LOOKUP($E357,Aerodromes!$A$2:$A$1048576,Aerodromes!$B$2:$B$1048576)</f>
        <v>#N/A</v>
      </c>
      <c r="H357" s="10" t="e">
        <f>LOOKUP($G357,Aerodromes!$A$2:$A$1048576,Aerodromes!$B$2:$B$1048576)</f>
        <v>#N/A</v>
      </c>
      <c r="K357" s="13">
        <f t="shared" si="5"/>
        <v>0</v>
      </c>
      <c r="V357" s="34">
        <f>SUBTOTAL(9,$K$3:$K357)</f>
        <v>0</v>
      </c>
      <c r="W357" s="35">
        <f>SUBTOTAL(9,$R$3:$R357)</f>
        <v>0</v>
      </c>
      <c r="X357" s="36">
        <f>SUBTOTAL(9,$S$3:$S357)</f>
        <v>0</v>
      </c>
      <c r="Y357" s="23">
        <f>SUBTOTAL(9,$L$3:$L357)</f>
        <v>0</v>
      </c>
      <c r="Z357" s="10">
        <f>SUBTOTAL(9,$M$3:$M357)</f>
        <v>0</v>
      </c>
    </row>
    <row r="358" spans="3:26" x14ac:dyDescent="0.25">
      <c r="C358" s="9" t="e">
        <f>LOOKUP($B358,Aircrafts!$A$2:$A$1048576,Aircrafts!$B$2:$B$1048576)</f>
        <v>#N/A</v>
      </c>
      <c r="D358" s="10" t="e">
        <f>LOOKUP($B358,Aircrafts!$A$2:$A$1048576,Aircrafts!$C$2:$C$1048576)</f>
        <v>#N/A</v>
      </c>
      <c r="F358" s="10" t="e">
        <f>LOOKUP($E358,Aerodromes!$A$2:$A$1048576,Aerodromes!$B$2:$B$1048576)</f>
        <v>#N/A</v>
      </c>
      <c r="H358" s="10" t="e">
        <f>LOOKUP($G358,Aerodromes!$A$2:$A$1048576,Aerodromes!$B$2:$B$1048576)</f>
        <v>#N/A</v>
      </c>
      <c r="K358" s="13">
        <f t="shared" si="5"/>
        <v>0</v>
      </c>
      <c r="V358" s="34">
        <f>SUBTOTAL(9,$K$3:$K358)</f>
        <v>0</v>
      </c>
      <c r="W358" s="35">
        <f>SUBTOTAL(9,$R$3:$R358)</f>
        <v>0</v>
      </c>
      <c r="X358" s="36">
        <f>SUBTOTAL(9,$S$3:$S358)</f>
        <v>0</v>
      </c>
      <c r="Y358" s="23">
        <f>SUBTOTAL(9,$L$3:$L358)</f>
        <v>0</v>
      </c>
      <c r="Z358" s="10">
        <f>SUBTOTAL(9,$M$3:$M358)</f>
        <v>0</v>
      </c>
    </row>
    <row r="359" spans="3:26" x14ac:dyDescent="0.25">
      <c r="C359" s="9" t="e">
        <f>LOOKUP($B359,Aircrafts!$A$2:$A$1048576,Aircrafts!$B$2:$B$1048576)</f>
        <v>#N/A</v>
      </c>
      <c r="D359" s="10" t="e">
        <f>LOOKUP($B359,Aircrafts!$A$2:$A$1048576,Aircrafts!$C$2:$C$1048576)</f>
        <v>#N/A</v>
      </c>
      <c r="F359" s="10" t="e">
        <f>LOOKUP($E359,Aerodromes!$A$2:$A$1048576,Aerodromes!$B$2:$B$1048576)</f>
        <v>#N/A</v>
      </c>
      <c r="H359" s="10" t="e">
        <f>LOOKUP($G359,Aerodromes!$A$2:$A$1048576,Aerodromes!$B$2:$B$1048576)</f>
        <v>#N/A</v>
      </c>
      <c r="K359" s="13">
        <f t="shared" si="5"/>
        <v>0</v>
      </c>
      <c r="V359" s="34">
        <f>SUBTOTAL(9,$K$3:$K359)</f>
        <v>0</v>
      </c>
      <c r="W359" s="35">
        <f>SUBTOTAL(9,$R$3:$R359)</f>
        <v>0</v>
      </c>
      <c r="X359" s="36">
        <f>SUBTOTAL(9,$S$3:$S359)</f>
        <v>0</v>
      </c>
      <c r="Y359" s="23">
        <f>SUBTOTAL(9,$L$3:$L359)</f>
        <v>0</v>
      </c>
      <c r="Z359" s="10">
        <f>SUBTOTAL(9,$M$3:$M359)</f>
        <v>0</v>
      </c>
    </row>
    <row r="360" spans="3:26" x14ac:dyDescent="0.25">
      <c r="C360" s="9" t="e">
        <f>LOOKUP($B360,Aircrafts!$A$2:$A$1048576,Aircrafts!$B$2:$B$1048576)</f>
        <v>#N/A</v>
      </c>
      <c r="D360" s="10" t="e">
        <f>LOOKUP($B360,Aircrafts!$A$2:$A$1048576,Aircrafts!$C$2:$C$1048576)</f>
        <v>#N/A</v>
      </c>
      <c r="F360" s="10" t="e">
        <f>LOOKUP($E360,Aerodromes!$A$2:$A$1048576,Aerodromes!$B$2:$B$1048576)</f>
        <v>#N/A</v>
      </c>
      <c r="H360" s="10" t="e">
        <f>LOOKUP($G360,Aerodromes!$A$2:$A$1048576,Aerodromes!$B$2:$B$1048576)</f>
        <v>#N/A</v>
      </c>
      <c r="K360" s="13">
        <f t="shared" si="5"/>
        <v>0</v>
      </c>
      <c r="V360" s="34">
        <f>SUBTOTAL(9,$K$3:$K360)</f>
        <v>0</v>
      </c>
      <c r="W360" s="35">
        <f>SUBTOTAL(9,$R$3:$R360)</f>
        <v>0</v>
      </c>
      <c r="X360" s="36">
        <f>SUBTOTAL(9,$S$3:$S360)</f>
        <v>0</v>
      </c>
      <c r="Y360" s="23">
        <f>SUBTOTAL(9,$L$3:$L360)</f>
        <v>0</v>
      </c>
      <c r="Z360" s="10">
        <f>SUBTOTAL(9,$M$3:$M360)</f>
        <v>0</v>
      </c>
    </row>
    <row r="361" spans="3:26" x14ac:dyDescent="0.25">
      <c r="C361" s="9" t="e">
        <f>LOOKUP($B361,Aircrafts!$A$2:$A$1048576,Aircrafts!$B$2:$B$1048576)</f>
        <v>#N/A</v>
      </c>
      <c r="D361" s="10" t="e">
        <f>LOOKUP($B361,Aircrafts!$A$2:$A$1048576,Aircrafts!$C$2:$C$1048576)</f>
        <v>#N/A</v>
      </c>
      <c r="F361" s="10" t="e">
        <f>LOOKUP($E361,Aerodromes!$A$2:$A$1048576,Aerodromes!$B$2:$B$1048576)</f>
        <v>#N/A</v>
      </c>
      <c r="H361" s="10" t="e">
        <f>LOOKUP($G361,Aerodromes!$A$2:$A$1048576,Aerodromes!$B$2:$B$1048576)</f>
        <v>#N/A</v>
      </c>
      <c r="K361" s="13">
        <f t="shared" si="5"/>
        <v>0</v>
      </c>
      <c r="V361" s="34">
        <f>SUBTOTAL(9,$K$3:$K361)</f>
        <v>0</v>
      </c>
      <c r="W361" s="35">
        <f>SUBTOTAL(9,$R$3:$R361)</f>
        <v>0</v>
      </c>
      <c r="X361" s="36">
        <f>SUBTOTAL(9,$S$3:$S361)</f>
        <v>0</v>
      </c>
      <c r="Y361" s="23">
        <f>SUBTOTAL(9,$L$3:$L361)</f>
        <v>0</v>
      </c>
      <c r="Z361" s="10">
        <f>SUBTOTAL(9,$M$3:$M361)</f>
        <v>0</v>
      </c>
    </row>
    <row r="362" spans="3:26" x14ac:dyDescent="0.25">
      <c r="C362" s="9" t="e">
        <f>LOOKUP($B362,Aircrafts!$A$2:$A$1048576,Aircrafts!$B$2:$B$1048576)</f>
        <v>#N/A</v>
      </c>
      <c r="D362" s="10" t="e">
        <f>LOOKUP($B362,Aircrafts!$A$2:$A$1048576,Aircrafts!$C$2:$C$1048576)</f>
        <v>#N/A</v>
      </c>
      <c r="F362" s="10" t="e">
        <f>LOOKUP($E362,Aerodromes!$A$2:$A$1048576,Aerodromes!$B$2:$B$1048576)</f>
        <v>#N/A</v>
      </c>
      <c r="H362" s="10" t="e">
        <f>LOOKUP($G362,Aerodromes!$A$2:$A$1048576,Aerodromes!$B$2:$B$1048576)</f>
        <v>#N/A</v>
      </c>
      <c r="K362" s="13">
        <f t="shared" si="5"/>
        <v>0</v>
      </c>
      <c r="V362" s="34">
        <f>SUBTOTAL(9,$K$3:$K362)</f>
        <v>0</v>
      </c>
      <c r="W362" s="35">
        <f>SUBTOTAL(9,$R$3:$R362)</f>
        <v>0</v>
      </c>
      <c r="X362" s="36">
        <f>SUBTOTAL(9,$S$3:$S362)</f>
        <v>0</v>
      </c>
      <c r="Y362" s="23">
        <f>SUBTOTAL(9,$L$3:$L362)</f>
        <v>0</v>
      </c>
      <c r="Z362" s="10">
        <f>SUBTOTAL(9,$M$3:$M362)</f>
        <v>0</v>
      </c>
    </row>
    <row r="363" spans="3:26" x14ac:dyDescent="0.25">
      <c r="C363" s="9" t="e">
        <f>LOOKUP($B363,Aircrafts!$A$2:$A$1048576,Aircrafts!$B$2:$B$1048576)</f>
        <v>#N/A</v>
      </c>
      <c r="D363" s="10" t="e">
        <f>LOOKUP($B363,Aircrafts!$A$2:$A$1048576,Aircrafts!$C$2:$C$1048576)</f>
        <v>#N/A</v>
      </c>
      <c r="F363" s="10" t="e">
        <f>LOOKUP($E363,Aerodromes!$A$2:$A$1048576,Aerodromes!$B$2:$B$1048576)</f>
        <v>#N/A</v>
      </c>
      <c r="H363" s="10" t="e">
        <f>LOOKUP($G363,Aerodromes!$A$2:$A$1048576,Aerodromes!$B$2:$B$1048576)</f>
        <v>#N/A</v>
      </c>
      <c r="K363" s="13">
        <f t="shared" si="5"/>
        <v>0</v>
      </c>
      <c r="V363" s="34">
        <f>SUBTOTAL(9,$K$3:$K363)</f>
        <v>0</v>
      </c>
      <c r="W363" s="35">
        <f>SUBTOTAL(9,$R$3:$R363)</f>
        <v>0</v>
      </c>
      <c r="X363" s="36">
        <f>SUBTOTAL(9,$S$3:$S363)</f>
        <v>0</v>
      </c>
      <c r="Y363" s="23">
        <f>SUBTOTAL(9,$L$3:$L363)</f>
        <v>0</v>
      </c>
      <c r="Z363" s="10">
        <f>SUBTOTAL(9,$M$3:$M363)</f>
        <v>0</v>
      </c>
    </row>
    <row r="364" spans="3:26" x14ac:dyDescent="0.25">
      <c r="C364" s="9" t="e">
        <f>LOOKUP($B364,Aircrafts!$A$2:$A$1048576,Aircrafts!$B$2:$B$1048576)</f>
        <v>#N/A</v>
      </c>
      <c r="D364" s="10" t="e">
        <f>LOOKUP($B364,Aircrafts!$A$2:$A$1048576,Aircrafts!$C$2:$C$1048576)</f>
        <v>#N/A</v>
      </c>
      <c r="F364" s="10" t="e">
        <f>LOOKUP($E364,Aerodromes!$A$2:$A$1048576,Aerodromes!$B$2:$B$1048576)</f>
        <v>#N/A</v>
      </c>
      <c r="H364" s="10" t="e">
        <f>LOOKUP($G364,Aerodromes!$A$2:$A$1048576,Aerodromes!$B$2:$B$1048576)</f>
        <v>#N/A</v>
      </c>
      <c r="K364" s="13">
        <f t="shared" si="5"/>
        <v>0</v>
      </c>
      <c r="V364" s="34">
        <f>SUBTOTAL(9,$K$3:$K364)</f>
        <v>0</v>
      </c>
      <c r="W364" s="35">
        <f>SUBTOTAL(9,$R$3:$R364)</f>
        <v>0</v>
      </c>
      <c r="X364" s="36">
        <f>SUBTOTAL(9,$S$3:$S364)</f>
        <v>0</v>
      </c>
      <c r="Y364" s="23">
        <f>SUBTOTAL(9,$L$3:$L364)</f>
        <v>0</v>
      </c>
      <c r="Z364" s="10">
        <f>SUBTOTAL(9,$M$3:$M364)</f>
        <v>0</v>
      </c>
    </row>
    <row r="365" spans="3:26" x14ac:dyDescent="0.25">
      <c r="C365" s="9" t="e">
        <f>LOOKUP($B365,Aircrafts!$A$2:$A$1048576,Aircrafts!$B$2:$B$1048576)</f>
        <v>#N/A</v>
      </c>
      <c r="D365" s="10" t="e">
        <f>LOOKUP($B365,Aircrafts!$A$2:$A$1048576,Aircrafts!$C$2:$C$1048576)</f>
        <v>#N/A</v>
      </c>
      <c r="F365" s="10" t="e">
        <f>LOOKUP($E365,Aerodromes!$A$2:$A$1048576,Aerodromes!$B$2:$B$1048576)</f>
        <v>#N/A</v>
      </c>
      <c r="H365" s="10" t="e">
        <f>LOOKUP($G365,Aerodromes!$A$2:$A$1048576,Aerodromes!$B$2:$B$1048576)</f>
        <v>#N/A</v>
      </c>
      <c r="K365" s="13">
        <f t="shared" si="5"/>
        <v>0</v>
      </c>
      <c r="V365" s="34">
        <f>SUBTOTAL(9,$K$3:$K365)</f>
        <v>0</v>
      </c>
      <c r="W365" s="35">
        <f>SUBTOTAL(9,$R$3:$R365)</f>
        <v>0</v>
      </c>
      <c r="X365" s="36">
        <f>SUBTOTAL(9,$S$3:$S365)</f>
        <v>0</v>
      </c>
      <c r="Y365" s="23">
        <f>SUBTOTAL(9,$L$3:$L365)</f>
        <v>0</v>
      </c>
      <c r="Z365" s="10">
        <f>SUBTOTAL(9,$M$3:$M365)</f>
        <v>0</v>
      </c>
    </row>
    <row r="366" spans="3:26" x14ac:dyDescent="0.25">
      <c r="C366" s="9" t="e">
        <f>LOOKUP($B366,Aircrafts!$A$2:$A$1048576,Aircrafts!$B$2:$B$1048576)</f>
        <v>#N/A</v>
      </c>
      <c r="D366" s="10" t="e">
        <f>LOOKUP($B366,Aircrafts!$A$2:$A$1048576,Aircrafts!$C$2:$C$1048576)</f>
        <v>#N/A</v>
      </c>
      <c r="F366" s="10" t="e">
        <f>LOOKUP($E366,Aerodromes!$A$2:$A$1048576,Aerodromes!$B$2:$B$1048576)</f>
        <v>#N/A</v>
      </c>
      <c r="H366" s="10" t="e">
        <f>LOOKUP($G366,Aerodromes!$A$2:$A$1048576,Aerodromes!$B$2:$B$1048576)</f>
        <v>#N/A</v>
      </c>
      <c r="K366" s="13">
        <f t="shared" si="5"/>
        <v>0</v>
      </c>
      <c r="V366" s="34">
        <f>SUBTOTAL(9,$K$3:$K366)</f>
        <v>0</v>
      </c>
      <c r="W366" s="35">
        <f>SUBTOTAL(9,$R$3:$R366)</f>
        <v>0</v>
      </c>
      <c r="X366" s="36">
        <f>SUBTOTAL(9,$S$3:$S366)</f>
        <v>0</v>
      </c>
      <c r="Y366" s="23">
        <f>SUBTOTAL(9,$L$3:$L366)</f>
        <v>0</v>
      </c>
      <c r="Z366" s="10">
        <f>SUBTOTAL(9,$M$3:$M366)</f>
        <v>0</v>
      </c>
    </row>
    <row r="367" spans="3:26" x14ac:dyDescent="0.25">
      <c r="C367" s="9" t="e">
        <f>LOOKUP($B367,Aircrafts!$A$2:$A$1048576,Aircrafts!$B$2:$B$1048576)</f>
        <v>#N/A</v>
      </c>
      <c r="D367" s="10" t="e">
        <f>LOOKUP($B367,Aircrafts!$A$2:$A$1048576,Aircrafts!$C$2:$C$1048576)</f>
        <v>#N/A</v>
      </c>
      <c r="F367" s="10" t="e">
        <f>LOOKUP($E367,Aerodromes!$A$2:$A$1048576,Aerodromes!$B$2:$B$1048576)</f>
        <v>#N/A</v>
      </c>
      <c r="H367" s="10" t="e">
        <f>LOOKUP($G367,Aerodromes!$A$2:$A$1048576,Aerodromes!$B$2:$B$1048576)</f>
        <v>#N/A</v>
      </c>
      <c r="K367" s="13">
        <f t="shared" si="5"/>
        <v>0</v>
      </c>
      <c r="V367" s="34">
        <f>SUBTOTAL(9,$K$3:$K367)</f>
        <v>0</v>
      </c>
      <c r="W367" s="35">
        <f>SUBTOTAL(9,$R$3:$R367)</f>
        <v>0</v>
      </c>
      <c r="X367" s="36">
        <f>SUBTOTAL(9,$S$3:$S367)</f>
        <v>0</v>
      </c>
      <c r="Y367" s="23">
        <f>SUBTOTAL(9,$L$3:$L367)</f>
        <v>0</v>
      </c>
      <c r="Z367" s="10">
        <f>SUBTOTAL(9,$M$3:$M367)</f>
        <v>0</v>
      </c>
    </row>
    <row r="368" spans="3:26" x14ac:dyDescent="0.25">
      <c r="C368" s="9" t="e">
        <f>LOOKUP($B368,Aircrafts!$A$2:$A$1048576,Aircrafts!$B$2:$B$1048576)</f>
        <v>#N/A</v>
      </c>
      <c r="D368" s="10" t="e">
        <f>LOOKUP($B368,Aircrafts!$A$2:$A$1048576,Aircrafts!$C$2:$C$1048576)</f>
        <v>#N/A</v>
      </c>
      <c r="F368" s="10" t="e">
        <f>LOOKUP($E368,Aerodromes!$A$2:$A$1048576,Aerodromes!$B$2:$B$1048576)</f>
        <v>#N/A</v>
      </c>
      <c r="H368" s="10" t="e">
        <f>LOOKUP($G368,Aerodromes!$A$2:$A$1048576,Aerodromes!$B$2:$B$1048576)</f>
        <v>#N/A</v>
      </c>
      <c r="K368" s="13">
        <f t="shared" si="5"/>
        <v>0</v>
      </c>
      <c r="V368" s="34">
        <f>SUBTOTAL(9,$K$3:$K368)</f>
        <v>0</v>
      </c>
      <c r="W368" s="35">
        <f>SUBTOTAL(9,$R$3:$R368)</f>
        <v>0</v>
      </c>
      <c r="X368" s="36">
        <f>SUBTOTAL(9,$S$3:$S368)</f>
        <v>0</v>
      </c>
      <c r="Y368" s="23">
        <f>SUBTOTAL(9,$L$3:$L368)</f>
        <v>0</v>
      </c>
      <c r="Z368" s="10">
        <f>SUBTOTAL(9,$M$3:$M368)</f>
        <v>0</v>
      </c>
    </row>
    <row r="369" spans="3:26" x14ac:dyDescent="0.25">
      <c r="C369" s="9" t="e">
        <f>LOOKUP($B369,Aircrafts!$A$2:$A$1048576,Aircrafts!$B$2:$B$1048576)</f>
        <v>#N/A</v>
      </c>
      <c r="D369" s="10" t="e">
        <f>LOOKUP($B369,Aircrafts!$A$2:$A$1048576,Aircrafts!$C$2:$C$1048576)</f>
        <v>#N/A</v>
      </c>
      <c r="F369" s="10" t="e">
        <f>LOOKUP($E369,Aerodromes!$A$2:$A$1048576,Aerodromes!$B$2:$B$1048576)</f>
        <v>#N/A</v>
      </c>
      <c r="H369" s="10" t="e">
        <f>LOOKUP($G369,Aerodromes!$A$2:$A$1048576,Aerodromes!$B$2:$B$1048576)</f>
        <v>#N/A</v>
      </c>
      <c r="K369" s="13">
        <f t="shared" si="5"/>
        <v>0</v>
      </c>
      <c r="V369" s="34">
        <f>SUBTOTAL(9,$K$3:$K369)</f>
        <v>0</v>
      </c>
      <c r="W369" s="35">
        <f>SUBTOTAL(9,$R$3:$R369)</f>
        <v>0</v>
      </c>
      <c r="X369" s="36">
        <f>SUBTOTAL(9,$S$3:$S369)</f>
        <v>0</v>
      </c>
      <c r="Y369" s="23">
        <f>SUBTOTAL(9,$L$3:$L369)</f>
        <v>0</v>
      </c>
      <c r="Z369" s="10">
        <f>SUBTOTAL(9,$M$3:$M369)</f>
        <v>0</v>
      </c>
    </row>
    <row r="370" spans="3:26" x14ac:dyDescent="0.25">
      <c r="C370" s="9" t="e">
        <f>LOOKUP($B370,Aircrafts!$A$2:$A$1048576,Aircrafts!$B$2:$B$1048576)</f>
        <v>#N/A</v>
      </c>
      <c r="D370" s="10" t="e">
        <f>LOOKUP($B370,Aircrafts!$A$2:$A$1048576,Aircrafts!$C$2:$C$1048576)</f>
        <v>#N/A</v>
      </c>
      <c r="F370" s="10" t="e">
        <f>LOOKUP($E370,Aerodromes!$A$2:$A$1048576,Aerodromes!$B$2:$B$1048576)</f>
        <v>#N/A</v>
      </c>
      <c r="H370" s="10" t="e">
        <f>LOOKUP($G370,Aerodromes!$A$2:$A$1048576,Aerodromes!$B$2:$B$1048576)</f>
        <v>#N/A</v>
      </c>
      <c r="K370" s="13">
        <f t="shared" si="5"/>
        <v>0</v>
      </c>
      <c r="V370" s="34">
        <f>SUBTOTAL(9,$K$3:$K370)</f>
        <v>0</v>
      </c>
      <c r="W370" s="35">
        <f>SUBTOTAL(9,$R$3:$R370)</f>
        <v>0</v>
      </c>
      <c r="X370" s="36">
        <f>SUBTOTAL(9,$S$3:$S370)</f>
        <v>0</v>
      </c>
      <c r="Y370" s="23">
        <f>SUBTOTAL(9,$L$3:$L370)</f>
        <v>0</v>
      </c>
      <c r="Z370" s="10">
        <f>SUBTOTAL(9,$M$3:$M370)</f>
        <v>0</v>
      </c>
    </row>
    <row r="371" spans="3:26" x14ac:dyDescent="0.25">
      <c r="C371" s="9" t="e">
        <f>LOOKUP($B371,Aircrafts!$A$2:$A$1048576,Aircrafts!$B$2:$B$1048576)</f>
        <v>#N/A</v>
      </c>
      <c r="D371" s="10" t="e">
        <f>LOOKUP($B371,Aircrafts!$A$2:$A$1048576,Aircrafts!$C$2:$C$1048576)</f>
        <v>#N/A</v>
      </c>
      <c r="F371" s="10" t="e">
        <f>LOOKUP($E371,Aerodromes!$A$2:$A$1048576,Aerodromes!$B$2:$B$1048576)</f>
        <v>#N/A</v>
      </c>
      <c r="H371" s="10" t="e">
        <f>LOOKUP($G371,Aerodromes!$A$2:$A$1048576,Aerodromes!$B$2:$B$1048576)</f>
        <v>#N/A</v>
      </c>
      <c r="K371" s="13">
        <f t="shared" si="5"/>
        <v>0</v>
      </c>
      <c r="V371" s="34">
        <f>SUBTOTAL(9,$K$3:$K371)</f>
        <v>0</v>
      </c>
      <c r="W371" s="35">
        <f>SUBTOTAL(9,$R$3:$R371)</f>
        <v>0</v>
      </c>
      <c r="X371" s="36">
        <f>SUBTOTAL(9,$S$3:$S371)</f>
        <v>0</v>
      </c>
      <c r="Y371" s="23">
        <f>SUBTOTAL(9,$L$3:$L371)</f>
        <v>0</v>
      </c>
      <c r="Z371" s="10">
        <f>SUBTOTAL(9,$M$3:$M371)</f>
        <v>0</v>
      </c>
    </row>
    <row r="372" spans="3:26" x14ac:dyDescent="0.25">
      <c r="C372" s="9" t="e">
        <f>LOOKUP($B372,Aircrafts!$A$2:$A$1048576,Aircrafts!$B$2:$B$1048576)</f>
        <v>#N/A</v>
      </c>
      <c r="D372" s="10" t="e">
        <f>LOOKUP($B372,Aircrafts!$A$2:$A$1048576,Aircrafts!$C$2:$C$1048576)</f>
        <v>#N/A</v>
      </c>
      <c r="F372" s="10" t="e">
        <f>LOOKUP($E372,Aerodromes!$A$2:$A$1048576,Aerodromes!$B$2:$B$1048576)</f>
        <v>#N/A</v>
      </c>
      <c r="H372" s="10" t="e">
        <f>LOOKUP($G372,Aerodromes!$A$2:$A$1048576,Aerodromes!$B$2:$B$1048576)</f>
        <v>#N/A</v>
      </c>
      <c r="K372" s="13">
        <f t="shared" si="5"/>
        <v>0</v>
      </c>
      <c r="V372" s="34">
        <f>SUBTOTAL(9,$K$3:$K372)</f>
        <v>0</v>
      </c>
      <c r="W372" s="35">
        <f>SUBTOTAL(9,$R$3:$R372)</f>
        <v>0</v>
      </c>
      <c r="X372" s="36">
        <f>SUBTOTAL(9,$S$3:$S372)</f>
        <v>0</v>
      </c>
      <c r="Y372" s="23">
        <f>SUBTOTAL(9,$L$3:$L372)</f>
        <v>0</v>
      </c>
      <c r="Z372" s="10">
        <f>SUBTOTAL(9,$M$3:$M372)</f>
        <v>0</v>
      </c>
    </row>
    <row r="373" spans="3:26" x14ac:dyDescent="0.25">
      <c r="C373" s="9" t="e">
        <f>LOOKUP($B373,Aircrafts!$A$2:$A$1048576,Aircrafts!$B$2:$B$1048576)</f>
        <v>#N/A</v>
      </c>
      <c r="D373" s="10" t="e">
        <f>LOOKUP($B373,Aircrafts!$A$2:$A$1048576,Aircrafts!$C$2:$C$1048576)</f>
        <v>#N/A</v>
      </c>
      <c r="F373" s="10" t="e">
        <f>LOOKUP($E373,Aerodromes!$A$2:$A$1048576,Aerodromes!$B$2:$B$1048576)</f>
        <v>#N/A</v>
      </c>
      <c r="H373" s="10" t="e">
        <f>LOOKUP($G373,Aerodromes!$A$2:$A$1048576,Aerodromes!$B$2:$B$1048576)</f>
        <v>#N/A</v>
      </c>
      <c r="K373" s="13">
        <f t="shared" si="5"/>
        <v>0</v>
      </c>
      <c r="V373" s="34">
        <f>SUBTOTAL(9,$K$3:$K373)</f>
        <v>0</v>
      </c>
      <c r="W373" s="35">
        <f>SUBTOTAL(9,$R$3:$R373)</f>
        <v>0</v>
      </c>
      <c r="X373" s="36">
        <f>SUBTOTAL(9,$S$3:$S373)</f>
        <v>0</v>
      </c>
      <c r="Y373" s="23">
        <f>SUBTOTAL(9,$L$3:$L373)</f>
        <v>0</v>
      </c>
      <c r="Z373" s="10">
        <f>SUBTOTAL(9,$M$3:$M373)</f>
        <v>0</v>
      </c>
    </row>
    <row r="374" spans="3:26" x14ac:dyDescent="0.25">
      <c r="C374" s="9" t="e">
        <f>LOOKUP($B374,Aircrafts!$A$2:$A$1048576,Aircrafts!$B$2:$B$1048576)</f>
        <v>#N/A</v>
      </c>
      <c r="D374" s="10" t="e">
        <f>LOOKUP($B374,Aircrafts!$A$2:$A$1048576,Aircrafts!$C$2:$C$1048576)</f>
        <v>#N/A</v>
      </c>
      <c r="F374" s="10" t="e">
        <f>LOOKUP($E374,Aerodromes!$A$2:$A$1048576,Aerodromes!$B$2:$B$1048576)</f>
        <v>#N/A</v>
      </c>
      <c r="H374" s="10" t="e">
        <f>LOOKUP($G374,Aerodromes!$A$2:$A$1048576,Aerodromes!$B$2:$B$1048576)</f>
        <v>#N/A</v>
      </c>
      <c r="K374" s="13">
        <f t="shared" si="5"/>
        <v>0</v>
      </c>
      <c r="V374" s="34">
        <f>SUBTOTAL(9,$K$3:$K374)</f>
        <v>0</v>
      </c>
      <c r="W374" s="35">
        <f>SUBTOTAL(9,$R$3:$R374)</f>
        <v>0</v>
      </c>
      <c r="X374" s="36">
        <f>SUBTOTAL(9,$S$3:$S374)</f>
        <v>0</v>
      </c>
      <c r="Y374" s="23">
        <f>SUBTOTAL(9,$L$3:$L374)</f>
        <v>0</v>
      </c>
      <c r="Z374" s="10">
        <f>SUBTOTAL(9,$M$3:$M374)</f>
        <v>0</v>
      </c>
    </row>
    <row r="375" spans="3:26" x14ac:dyDescent="0.25">
      <c r="C375" s="9" t="e">
        <f>LOOKUP($B375,Aircrafts!$A$2:$A$1048576,Aircrafts!$B$2:$B$1048576)</f>
        <v>#N/A</v>
      </c>
      <c r="D375" s="10" t="e">
        <f>LOOKUP($B375,Aircrafts!$A$2:$A$1048576,Aircrafts!$C$2:$C$1048576)</f>
        <v>#N/A</v>
      </c>
      <c r="F375" s="10" t="e">
        <f>LOOKUP($E375,Aerodromes!$A$2:$A$1048576,Aerodromes!$B$2:$B$1048576)</f>
        <v>#N/A</v>
      </c>
      <c r="H375" s="10" t="e">
        <f>LOOKUP($G375,Aerodromes!$A$2:$A$1048576,Aerodromes!$B$2:$B$1048576)</f>
        <v>#N/A</v>
      </c>
      <c r="K375" s="13">
        <f t="shared" si="5"/>
        <v>0</v>
      </c>
      <c r="V375" s="34">
        <f>SUBTOTAL(9,$K$3:$K375)</f>
        <v>0</v>
      </c>
      <c r="W375" s="35">
        <f>SUBTOTAL(9,$R$3:$R375)</f>
        <v>0</v>
      </c>
      <c r="X375" s="36">
        <f>SUBTOTAL(9,$S$3:$S375)</f>
        <v>0</v>
      </c>
      <c r="Y375" s="23">
        <f>SUBTOTAL(9,$L$3:$L375)</f>
        <v>0</v>
      </c>
      <c r="Z375" s="10">
        <f>SUBTOTAL(9,$M$3:$M375)</f>
        <v>0</v>
      </c>
    </row>
    <row r="376" spans="3:26" x14ac:dyDescent="0.25">
      <c r="C376" s="9" t="e">
        <f>LOOKUP($B376,Aircrafts!$A$2:$A$1048576,Aircrafts!$B$2:$B$1048576)</f>
        <v>#N/A</v>
      </c>
      <c r="D376" s="10" t="e">
        <f>LOOKUP($B376,Aircrafts!$A$2:$A$1048576,Aircrafts!$C$2:$C$1048576)</f>
        <v>#N/A</v>
      </c>
      <c r="F376" s="10" t="e">
        <f>LOOKUP($E376,Aerodromes!$A$2:$A$1048576,Aerodromes!$B$2:$B$1048576)</f>
        <v>#N/A</v>
      </c>
      <c r="H376" s="10" t="e">
        <f>LOOKUP($G376,Aerodromes!$A$2:$A$1048576,Aerodromes!$B$2:$B$1048576)</f>
        <v>#N/A</v>
      </c>
      <c r="K376" s="13">
        <f t="shared" si="5"/>
        <v>0</v>
      </c>
      <c r="V376" s="34">
        <f>SUBTOTAL(9,$K$3:$K376)</f>
        <v>0</v>
      </c>
      <c r="W376" s="35">
        <f>SUBTOTAL(9,$R$3:$R376)</f>
        <v>0</v>
      </c>
      <c r="X376" s="36">
        <f>SUBTOTAL(9,$S$3:$S376)</f>
        <v>0</v>
      </c>
      <c r="Y376" s="23">
        <f>SUBTOTAL(9,$L$3:$L376)</f>
        <v>0</v>
      </c>
      <c r="Z376" s="10">
        <f>SUBTOTAL(9,$M$3:$M376)</f>
        <v>0</v>
      </c>
    </row>
    <row r="377" spans="3:26" x14ac:dyDescent="0.25">
      <c r="C377" s="9" t="e">
        <f>LOOKUP($B377,Aircrafts!$A$2:$A$1048576,Aircrafts!$B$2:$B$1048576)</f>
        <v>#N/A</v>
      </c>
      <c r="D377" s="10" t="e">
        <f>LOOKUP($B377,Aircrafts!$A$2:$A$1048576,Aircrafts!$C$2:$C$1048576)</f>
        <v>#N/A</v>
      </c>
      <c r="F377" s="10" t="e">
        <f>LOOKUP($E377,Aerodromes!$A$2:$A$1048576,Aerodromes!$B$2:$B$1048576)</f>
        <v>#N/A</v>
      </c>
      <c r="H377" s="10" t="e">
        <f>LOOKUP($G377,Aerodromes!$A$2:$A$1048576,Aerodromes!$B$2:$B$1048576)</f>
        <v>#N/A</v>
      </c>
      <c r="K377" s="13">
        <f t="shared" si="5"/>
        <v>0</v>
      </c>
      <c r="V377" s="34">
        <f>SUBTOTAL(9,$K$3:$K377)</f>
        <v>0</v>
      </c>
      <c r="W377" s="35">
        <f>SUBTOTAL(9,$R$3:$R377)</f>
        <v>0</v>
      </c>
      <c r="X377" s="36">
        <f>SUBTOTAL(9,$S$3:$S377)</f>
        <v>0</v>
      </c>
      <c r="Y377" s="23">
        <f>SUBTOTAL(9,$L$3:$L377)</f>
        <v>0</v>
      </c>
      <c r="Z377" s="10">
        <f>SUBTOTAL(9,$M$3:$M377)</f>
        <v>0</v>
      </c>
    </row>
    <row r="378" spans="3:26" x14ac:dyDescent="0.25">
      <c r="C378" s="9" t="e">
        <f>LOOKUP($B378,Aircrafts!$A$2:$A$1048576,Aircrafts!$B$2:$B$1048576)</f>
        <v>#N/A</v>
      </c>
      <c r="D378" s="10" t="e">
        <f>LOOKUP($B378,Aircrafts!$A$2:$A$1048576,Aircrafts!$C$2:$C$1048576)</f>
        <v>#N/A</v>
      </c>
      <c r="F378" s="10" t="e">
        <f>LOOKUP($E378,Aerodromes!$A$2:$A$1048576,Aerodromes!$B$2:$B$1048576)</f>
        <v>#N/A</v>
      </c>
      <c r="H378" s="10" t="e">
        <f>LOOKUP($G378,Aerodromes!$A$2:$A$1048576,Aerodromes!$B$2:$B$1048576)</f>
        <v>#N/A</v>
      </c>
      <c r="K378" s="13">
        <f t="shared" si="5"/>
        <v>0</v>
      </c>
      <c r="V378" s="34">
        <f>SUBTOTAL(9,$K$3:$K378)</f>
        <v>0</v>
      </c>
      <c r="W378" s="35">
        <f>SUBTOTAL(9,$R$3:$R378)</f>
        <v>0</v>
      </c>
      <c r="X378" s="36">
        <f>SUBTOTAL(9,$S$3:$S378)</f>
        <v>0</v>
      </c>
      <c r="Y378" s="23">
        <f>SUBTOTAL(9,$L$3:$L378)</f>
        <v>0</v>
      </c>
      <c r="Z378" s="10">
        <f>SUBTOTAL(9,$M$3:$M378)</f>
        <v>0</v>
      </c>
    </row>
    <row r="379" spans="3:26" x14ac:dyDescent="0.25">
      <c r="C379" s="9" t="e">
        <f>LOOKUP($B379,Aircrafts!$A$2:$A$1048576,Aircrafts!$B$2:$B$1048576)</f>
        <v>#N/A</v>
      </c>
      <c r="D379" s="10" t="e">
        <f>LOOKUP($B379,Aircrafts!$A$2:$A$1048576,Aircrafts!$C$2:$C$1048576)</f>
        <v>#N/A</v>
      </c>
      <c r="F379" s="10" t="e">
        <f>LOOKUP($E379,Aerodromes!$A$2:$A$1048576,Aerodromes!$B$2:$B$1048576)</f>
        <v>#N/A</v>
      </c>
      <c r="H379" s="10" t="e">
        <f>LOOKUP($G379,Aerodromes!$A$2:$A$1048576,Aerodromes!$B$2:$B$1048576)</f>
        <v>#N/A</v>
      </c>
      <c r="K379" s="13">
        <f t="shared" si="5"/>
        <v>0</v>
      </c>
      <c r="V379" s="34">
        <f>SUBTOTAL(9,$K$3:$K379)</f>
        <v>0</v>
      </c>
      <c r="W379" s="35">
        <f>SUBTOTAL(9,$R$3:$R379)</f>
        <v>0</v>
      </c>
      <c r="X379" s="36">
        <f>SUBTOTAL(9,$S$3:$S379)</f>
        <v>0</v>
      </c>
      <c r="Y379" s="23">
        <f>SUBTOTAL(9,$L$3:$L379)</f>
        <v>0</v>
      </c>
      <c r="Z379" s="10">
        <f>SUBTOTAL(9,$M$3:$M379)</f>
        <v>0</v>
      </c>
    </row>
    <row r="380" spans="3:26" x14ac:dyDescent="0.25">
      <c r="C380" s="9" t="e">
        <f>LOOKUP($B380,Aircrafts!$A$2:$A$1048576,Aircrafts!$B$2:$B$1048576)</f>
        <v>#N/A</v>
      </c>
      <c r="D380" s="10" t="e">
        <f>LOOKUP($B380,Aircrafts!$A$2:$A$1048576,Aircrafts!$C$2:$C$1048576)</f>
        <v>#N/A</v>
      </c>
      <c r="F380" s="10" t="e">
        <f>LOOKUP($E380,Aerodromes!$A$2:$A$1048576,Aerodromes!$B$2:$B$1048576)</f>
        <v>#N/A</v>
      </c>
      <c r="H380" s="10" t="e">
        <f>LOOKUP($G380,Aerodromes!$A$2:$A$1048576,Aerodromes!$B$2:$B$1048576)</f>
        <v>#N/A</v>
      </c>
      <c r="K380" s="13">
        <f t="shared" si="5"/>
        <v>0</v>
      </c>
      <c r="V380" s="34">
        <f>SUBTOTAL(9,$K$3:$K380)</f>
        <v>0</v>
      </c>
      <c r="W380" s="35">
        <f>SUBTOTAL(9,$R$3:$R380)</f>
        <v>0</v>
      </c>
      <c r="X380" s="36">
        <f>SUBTOTAL(9,$S$3:$S380)</f>
        <v>0</v>
      </c>
      <c r="Y380" s="23">
        <f>SUBTOTAL(9,$L$3:$L380)</f>
        <v>0</v>
      </c>
      <c r="Z380" s="10">
        <f>SUBTOTAL(9,$M$3:$M380)</f>
        <v>0</v>
      </c>
    </row>
    <row r="381" spans="3:26" x14ac:dyDescent="0.25">
      <c r="C381" s="9" t="e">
        <f>LOOKUP($B381,Aircrafts!$A$2:$A$1048576,Aircrafts!$B$2:$B$1048576)</f>
        <v>#N/A</v>
      </c>
      <c r="D381" s="10" t="e">
        <f>LOOKUP($B381,Aircrafts!$A$2:$A$1048576,Aircrafts!$C$2:$C$1048576)</f>
        <v>#N/A</v>
      </c>
      <c r="F381" s="10" t="e">
        <f>LOOKUP($E381,Aerodromes!$A$2:$A$1048576,Aerodromes!$B$2:$B$1048576)</f>
        <v>#N/A</v>
      </c>
      <c r="H381" s="10" t="e">
        <f>LOOKUP($G381,Aerodromes!$A$2:$A$1048576,Aerodromes!$B$2:$B$1048576)</f>
        <v>#N/A</v>
      </c>
      <c r="K381" s="13">
        <f t="shared" si="5"/>
        <v>0</v>
      </c>
      <c r="V381" s="34">
        <f>SUBTOTAL(9,$K$3:$K381)</f>
        <v>0</v>
      </c>
      <c r="W381" s="35">
        <f>SUBTOTAL(9,$R$3:$R381)</f>
        <v>0</v>
      </c>
      <c r="X381" s="36">
        <f>SUBTOTAL(9,$S$3:$S381)</f>
        <v>0</v>
      </c>
      <c r="Y381" s="23">
        <f>SUBTOTAL(9,$L$3:$L381)</f>
        <v>0</v>
      </c>
      <c r="Z381" s="10">
        <f>SUBTOTAL(9,$M$3:$M381)</f>
        <v>0</v>
      </c>
    </row>
    <row r="382" spans="3:26" x14ac:dyDescent="0.25">
      <c r="C382" s="9" t="e">
        <f>LOOKUP($B382,Aircrafts!$A$2:$A$1048576,Aircrafts!$B$2:$B$1048576)</f>
        <v>#N/A</v>
      </c>
      <c r="D382" s="10" t="e">
        <f>LOOKUP($B382,Aircrafts!$A$2:$A$1048576,Aircrafts!$C$2:$C$1048576)</f>
        <v>#N/A</v>
      </c>
      <c r="F382" s="10" t="e">
        <f>LOOKUP($E382,Aerodromes!$A$2:$A$1048576,Aerodromes!$B$2:$B$1048576)</f>
        <v>#N/A</v>
      </c>
      <c r="H382" s="10" t="e">
        <f>LOOKUP($G382,Aerodromes!$A$2:$A$1048576,Aerodromes!$B$2:$B$1048576)</f>
        <v>#N/A</v>
      </c>
      <c r="K382" s="13">
        <f t="shared" si="5"/>
        <v>0</v>
      </c>
      <c r="V382" s="34">
        <f>SUBTOTAL(9,$K$3:$K382)</f>
        <v>0</v>
      </c>
      <c r="W382" s="35">
        <f>SUBTOTAL(9,$R$3:$R382)</f>
        <v>0</v>
      </c>
      <c r="X382" s="36">
        <f>SUBTOTAL(9,$S$3:$S382)</f>
        <v>0</v>
      </c>
      <c r="Y382" s="23">
        <f>SUBTOTAL(9,$L$3:$L382)</f>
        <v>0</v>
      </c>
      <c r="Z382" s="10">
        <f>SUBTOTAL(9,$M$3:$M382)</f>
        <v>0</v>
      </c>
    </row>
    <row r="383" spans="3:26" x14ac:dyDescent="0.25">
      <c r="C383" s="9" t="e">
        <f>LOOKUP($B383,Aircrafts!$A$2:$A$1048576,Aircrafts!$B$2:$B$1048576)</f>
        <v>#N/A</v>
      </c>
      <c r="D383" s="10" t="e">
        <f>LOOKUP($B383,Aircrafts!$A$2:$A$1048576,Aircrafts!$C$2:$C$1048576)</f>
        <v>#N/A</v>
      </c>
      <c r="F383" s="10" t="e">
        <f>LOOKUP($E383,Aerodromes!$A$2:$A$1048576,Aerodromes!$B$2:$B$1048576)</f>
        <v>#N/A</v>
      </c>
      <c r="H383" s="10" t="e">
        <f>LOOKUP($G383,Aerodromes!$A$2:$A$1048576,Aerodromes!$B$2:$B$1048576)</f>
        <v>#N/A</v>
      </c>
      <c r="K383" s="13">
        <f t="shared" si="5"/>
        <v>0</v>
      </c>
      <c r="V383" s="34">
        <f>SUBTOTAL(9,$K$3:$K383)</f>
        <v>0</v>
      </c>
      <c r="W383" s="35">
        <f>SUBTOTAL(9,$R$3:$R383)</f>
        <v>0</v>
      </c>
      <c r="X383" s="36">
        <f>SUBTOTAL(9,$S$3:$S383)</f>
        <v>0</v>
      </c>
      <c r="Y383" s="23">
        <f>SUBTOTAL(9,$L$3:$L383)</f>
        <v>0</v>
      </c>
      <c r="Z383" s="10">
        <f>SUBTOTAL(9,$M$3:$M383)</f>
        <v>0</v>
      </c>
    </row>
    <row r="384" spans="3:26" x14ac:dyDescent="0.25">
      <c r="C384" s="9" t="e">
        <f>LOOKUP($B384,Aircrafts!$A$2:$A$1048576,Aircrafts!$B$2:$B$1048576)</f>
        <v>#N/A</v>
      </c>
      <c r="D384" s="10" t="e">
        <f>LOOKUP($B384,Aircrafts!$A$2:$A$1048576,Aircrafts!$C$2:$C$1048576)</f>
        <v>#N/A</v>
      </c>
      <c r="F384" s="10" t="e">
        <f>LOOKUP($E384,Aerodromes!$A$2:$A$1048576,Aerodromes!$B$2:$B$1048576)</f>
        <v>#N/A</v>
      </c>
      <c r="H384" s="10" t="e">
        <f>LOOKUP($G384,Aerodromes!$A$2:$A$1048576,Aerodromes!$B$2:$B$1048576)</f>
        <v>#N/A</v>
      </c>
      <c r="K384" s="13">
        <f t="shared" si="5"/>
        <v>0</v>
      </c>
      <c r="V384" s="34">
        <f>SUBTOTAL(9,$K$3:$K384)</f>
        <v>0</v>
      </c>
      <c r="W384" s="35">
        <f>SUBTOTAL(9,$R$3:$R384)</f>
        <v>0</v>
      </c>
      <c r="X384" s="36">
        <f>SUBTOTAL(9,$S$3:$S384)</f>
        <v>0</v>
      </c>
      <c r="Y384" s="23">
        <f>SUBTOTAL(9,$L$3:$L384)</f>
        <v>0</v>
      </c>
      <c r="Z384" s="10">
        <f>SUBTOTAL(9,$M$3:$M384)</f>
        <v>0</v>
      </c>
    </row>
    <row r="385" spans="3:26" x14ac:dyDescent="0.25">
      <c r="C385" s="9" t="e">
        <f>LOOKUP($B385,Aircrafts!$A$2:$A$1048576,Aircrafts!$B$2:$B$1048576)</f>
        <v>#N/A</v>
      </c>
      <c r="D385" s="10" t="e">
        <f>LOOKUP($B385,Aircrafts!$A$2:$A$1048576,Aircrafts!$C$2:$C$1048576)</f>
        <v>#N/A</v>
      </c>
      <c r="F385" s="10" t="e">
        <f>LOOKUP($E385,Aerodromes!$A$2:$A$1048576,Aerodromes!$B$2:$B$1048576)</f>
        <v>#N/A</v>
      </c>
      <c r="H385" s="10" t="e">
        <f>LOOKUP($G385,Aerodromes!$A$2:$A$1048576,Aerodromes!$B$2:$B$1048576)</f>
        <v>#N/A</v>
      </c>
      <c r="K385" s="13">
        <f t="shared" si="5"/>
        <v>0</v>
      </c>
      <c r="V385" s="34">
        <f>SUBTOTAL(9,$K$3:$K385)</f>
        <v>0</v>
      </c>
      <c r="W385" s="35">
        <f>SUBTOTAL(9,$R$3:$R385)</f>
        <v>0</v>
      </c>
      <c r="X385" s="36">
        <f>SUBTOTAL(9,$S$3:$S385)</f>
        <v>0</v>
      </c>
      <c r="Y385" s="23">
        <f>SUBTOTAL(9,$L$3:$L385)</f>
        <v>0</v>
      </c>
      <c r="Z385" s="10">
        <f>SUBTOTAL(9,$M$3:$M385)</f>
        <v>0</v>
      </c>
    </row>
    <row r="386" spans="3:26" x14ac:dyDescent="0.25">
      <c r="C386" s="9" t="e">
        <f>LOOKUP($B386,Aircrafts!$A$2:$A$1048576,Aircrafts!$B$2:$B$1048576)</f>
        <v>#N/A</v>
      </c>
      <c r="D386" s="10" t="e">
        <f>LOOKUP($B386,Aircrafts!$A$2:$A$1048576,Aircrafts!$C$2:$C$1048576)</f>
        <v>#N/A</v>
      </c>
      <c r="F386" s="10" t="e">
        <f>LOOKUP($E386,Aerodromes!$A$2:$A$1048576,Aerodromes!$B$2:$B$1048576)</f>
        <v>#N/A</v>
      </c>
      <c r="H386" s="10" t="e">
        <f>LOOKUP($G386,Aerodromes!$A$2:$A$1048576,Aerodromes!$B$2:$B$1048576)</f>
        <v>#N/A</v>
      </c>
      <c r="K386" s="13">
        <f t="shared" si="5"/>
        <v>0</v>
      </c>
      <c r="V386" s="34">
        <f>SUBTOTAL(9,$K$3:$K386)</f>
        <v>0</v>
      </c>
      <c r="W386" s="35">
        <f>SUBTOTAL(9,$R$3:$R386)</f>
        <v>0</v>
      </c>
      <c r="X386" s="36">
        <f>SUBTOTAL(9,$S$3:$S386)</f>
        <v>0</v>
      </c>
      <c r="Y386" s="23">
        <f>SUBTOTAL(9,$L$3:$L386)</f>
        <v>0</v>
      </c>
      <c r="Z386" s="10">
        <f>SUBTOTAL(9,$M$3:$M386)</f>
        <v>0</v>
      </c>
    </row>
    <row r="387" spans="3:26" x14ac:dyDescent="0.25">
      <c r="C387" s="9" t="e">
        <f>LOOKUP($B387,Aircrafts!$A$2:$A$1048576,Aircrafts!$B$2:$B$1048576)</f>
        <v>#N/A</v>
      </c>
      <c r="D387" s="10" t="e">
        <f>LOOKUP($B387,Aircrafts!$A$2:$A$1048576,Aircrafts!$C$2:$C$1048576)</f>
        <v>#N/A</v>
      </c>
      <c r="F387" s="10" t="e">
        <f>LOOKUP($E387,Aerodromes!$A$2:$A$1048576,Aerodromes!$B$2:$B$1048576)</f>
        <v>#N/A</v>
      </c>
      <c r="H387" s="10" t="e">
        <f>LOOKUP($G387,Aerodromes!$A$2:$A$1048576,Aerodromes!$B$2:$B$1048576)</f>
        <v>#N/A</v>
      </c>
      <c r="K387" s="13">
        <f t="shared" ref="K387:K450" si="6">IF($J387&gt;=$I387,$J387-$I387,1+$J387-$I387)</f>
        <v>0</v>
      </c>
      <c r="V387" s="34">
        <f>SUBTOTAL(9,$K$3:$K387)</f>
        <v>0</v>
      </c>
      <c r="W387" s="35">
        <f>SUBTOTAL(9,$R$3:$R387)</f>
        <v>0</v>
      </c>
      <c r="X387" s="36">
        <f>SUBTOTAL(9,$S$3:$S387)</f>
        <v>0</v>
      </c>
      <c r="Y387" s="23">
        <f>SUBTOTAL(9,$L$3:$L387)</f>
        <v>0</v>
      </c>
      <c r="Z387" s="10">
        <f>SUBTOTAL(9,$M$3:$M387)</f>
        <v>0</v>
      </c>
    </row>
    <row r="388" spans="3:26" x14ac:dyDescent="0.25">
      <c r="C388" s="9" t="e">
        <f>LOOKUP($B388,Aircrafts!$A$2:$A$1048576,Aircrafts!$B$2:$B$1048576)</f>
        <v>#N/A</v>
      </c>
      <c r="D388" s="10" t="e">
        <f>LOOKUP($B388,Aircrafts!$A$2:$A$1048576,Aircrafts!$C$2:$C$1048576)</f>
        <v>#N/A</v>
      </c>
      <c r="F388" s="10" t="e">
        <f>LOOKUP($E388,Aerodromes!$A$2:$A$1048576,Aerodromes!$B$2:$B$1048576)</f>
        <v>#N/A</v>
      </c>
      <c r="H388" s="10" t="e">
        <f>LOOKUP($G388,Aerodromes!$A$2:$A$1048576,Aerodromes!$B$2:$B$1048576)</f>
        <v>#N/A</v>
      </c>
      <c r="K388" s="13">
        <f t="shared" si="6"/>
        <v>0</v>
      </c>
      <c r="V388" s="34">
        <f>SUBTOTAL(9,$K$3:$K388)</f>
        <v>0</v>
      </c>
      <c r="W388" s="35">
        <f>SUBTOTAL(9,$R$3:$R388)</f>
        <v>0</v>
      </c>
      <c r="X388" s="36">
        <f>SUBTOTAL(9,$S$3:$S388)</f>
        <v>0</v>
      </c>
      <c r="Y388" s="23">
        <f>SUBTOTAL(9,$L$3:$L388)</f>
        <v>0</v>
      </c>
      <c r="Z388" s="10">
        <f>SUBTOTAL(9,$M$3:$M388)</f>
        <v>0</v>
      </c>
    </row>
    <row r="389" spans="3:26" x14ac:dyDescent="0.25">
      <c r="C389" s="9" t="e">
        <f>LOOKUP($B389,Aircrafts!$A$2:$A$1048576,Aircrafts!$B$2:$B$1048576)</f>
        <v>#N/A</v>
      </c>
      <c r="D389" s="10" t="e">
        <f>LOOKUP($B389,Aircrafts!$A$2:$A$1048576,Aircrafts!$C$2:$C$1048576)</f>
        <v>#N/A</v>
      </c>
      <c r="F389" s="10" t="e">
        <f>LOOKUP($E389,Aerodromes!$A$2:$A$1048576,Aerodromes!$B$2:$B$1048576)</f>
        <v>#N/A</v>
      </c>
      <c r="H389" s="10" t="e">
        <f>LOOKUP($G389,Aerodromes!$A$2:$A$1048576,Aerodromes!$B$2:$B$1048576)</f>
        <v>#N/A</v>
      </c>
      <c r="K389" s="13">
        <f t="shared" si="6"/>
        <v>0</v>
      </c>
      <c r="V389" s="34">
        <f>SUBTOTAL(9,$K$3:$K389)</f>
        <v>0</v>
      </c>
      <c r="W389" s="35">
        <f>SUBTOTAL(9,$R$3:$R389)</f>
        <v>0</v>
      </c>
      <c r="X389" s="36">
        <f>SUBTOTAL(9,$S$3:$S389)</f>
        <v>0</v>
      </c>
      <c r="Y389" s="23">
        <f>SUBTOTAL(9,$L$3:$L389)</f>
        <v>0</v>
      </c>
      <c r="Z389" s="10">
        <f>SUBTOTAL(9,$M$3:$M389)</f>
        <v>0</v>
      </c>
    </row>
    <row r="390" spans="3:26" x14ac:dyDescent="0.25">
      <c r="C390" s="9" t="e">
        <f>LOOKUP($B390,Aircrafts!$A$2:$A$1048576,Aircrafts!$B$2:$B$1048576)</f>
        <v>#N/A</v>
      </c>
      <c r="D390" s="10" t="e">
        <f>LOOKUP($B390,Aircrafts!$A$2:$A$1048576,Aircrafts!$C$2:$C$1048576)</f>
        <v>#N/A</v>
      </c>
      <c r="F390" s="10" t="e">
        <f>LOOKUP($E390,Aerodromes!$A$2:$A$1048576,Aerodromes!$B$2:$B$1048576)</f>
        <v>#N/A</v>
      </c>
      <c r="H390" s="10" t="e">
        <f>LOOKUP($G390,Aerodromes!$A$2:$A$1048576,Aerodromes!$B$2:$B$1048576)</f>
        <v>#N/A</v>
      </c>
      <c r="K390" s="13">
        <f t="shared" si="6"/>
        <v>0</v>
      </c>
      <c r="V390" s="34">
        <f>SUBTOTAL(9,$K$3:$K390)</f>
        <v>0</v>
      </c>
      <c r="W390" s="35">
        <f>SUBTOTAL(9,$R$3:$R390)</f>
        <v>0</v>
      </c>
      <c r="X390" s="36">
        <f>SUBTOTAL(9,$S$3:$S390)</f>
        <v>0</v>
      </c>
      <c r="Y390" s="23">
        <f>SUBTOTAL(9,$L$3:$L390)</f>
        <v>0</v>
      </c>
      <c r="Z390" s="10">
        <f>SUBTOTAL(9,$M$3:$M390)</f>
        <v>0</v>
      </c>
    </row>
    <row r="391" spans="3:26" x14ac:dyDescent="0.25">
      <c r="C391" s="9" t="e">
        <f>LOOKUP($B391,Aircrafts!$A$2:$A$1048576,Aircrafts!$B$2:$B$1048576)</f>
        <v>#N/A</v>
      </c>
      <c r="D391" s="10" t="e">
        <f>LOOKUP($B391,Aircrafts!$A$2:$A$1048576,Aircrafts!$C$2:$C$1048576)</f>
        <v>#N/A</v>
      </c>
      <c r="F391" s="10" t="e">
        <f>LOOKUP($E391,Aerodromes!$A$2:$A$1048576,Aerodromes!$B$2:$B$1048576)</f>
        <v>#N/A</v>
      </c>
      <c r="H391" s="10" t="e">
        <f>LOOKUP($G391,Aerodromes!$A$2:$A$1048576,Aerodromes!$B$2:$B$1048576)</f>
        <v>#N/A</v>
      </c>
      <c r="K391" s="13">
        <f t="shared" si="6"/>
        <v>0</v>
      </c>
      <c r="V391" s="34">
        <f>SUBTOTAL(9,$K$3:$K391)</f>
        <v>0</v>
      </c>
      <c r="W391" s="35">
        <f>SUBTOTAL(9,$R$3:$R391)</f>
        <v>0</v>
      </c>
      <c r="X391" s="36">
        <f>SUBTOTAL(9,$S$3:$S391)</f>
        <v>0</v>
      </c>
      <c r="Y391" s="23">
        <f>SUBTOTAL(9,$L$3:$L391)</f>
        <v>0</v>
      </c>
      <c r="Z391" s="10">
        <f>SUBTOTAL(9,$M$3:$M391)</f>
        <v>0</v>
      </c>
    </row>
    <row r="392" spans="3:26" x14ac:dyDescent="0.25">
      <c r="C392" s="9" t="e">
        <f>LOOKUP($B392,Aircrafts!$A$2:$A$1048576,Aircrafts!$B$2:$B$1048576)</f>
        <v>#N/A</v>
      </c>
      <c r="D392" s="10" t="e">
        <f>LOOKUP($B392,Aircrafts!$A$2:$A$1048576,Aircrafts!$C$2:$C$1048576)</f>
        <v>#N/A</v>
      </c>
      <c r="F392" s="10" t="e">
        <f>LOOKUP($E392,Aerodromes!$A$2:$A$1048576,Aerodromes!$B$2:$B$1048576)</f>
        <v>#N/A</v>
      </c>
      <c r="H392" s="10" t="e">
        <f>LOOKUP($G392,Aerodromes!$A$2:$A$1048576,Aerodromes!$B$2:$B$1048576)</f>
        <v>#N/A</v>
      </c>
      <c r="K392" s="13">
        <f t="shared" si="6"/>
        <v>0</v>
      </c>
      <c r="V392" s="34">
        <f>SUBTOTAL(9,$K$3:$K392)</f>
        <v>0</v>
      </c>
      <c r="W392" s="35">
        <f>SUBTOTAL(9,$R$3:$R392)</f>
        <v>0</v>
      </c>
      <c r="X392" s="36">
        <f>SUBTOTAL(9,$S$3:$S392)</f>
        <v>0</v>
      </c>
      <c r="Y392" s="23">
        <f>SUBTOTAL(9,$L$3:$L392)</f>
        <v>0</v>
      </c>
      <c r="Z392" s="10">
        <f>SUBTOTAL(9,$M$3:$M392)</f>
        <v>0</v>
      </c>
    </row>
    <row r="393" spans="3:26" x14ac:dyDescent="0.25">
      <c r="C393" s="9" t="e">
        <f>LOOKUP($B393,Aircrafts!$A$2:$A$1048576,Aircrafts!$B$2:$B$1048576)</f>
        <v>#N/A</v>
      </c>
      <c r="D393" s="10" t="e">
        <f>LOOKUP($B393,Aircrafts!$A$2:$A$1048576,Aircrafts!$C$2:$C$1048576)</f>
        <v>#N/A</v>
      </c>
      <c r="F393" s="10" t="e">
        <f>LOOKUP($E393,Aerodromes!$A$2:$A$1048576,Aerodromes!$B$2:$B$1048576)</f>
        <v>#N/A</v>
      </c>
      <c r="H393" s="10" t="e">
        <f>LOOKUP($G393,Aerodromes!$A$2:$A$1048576,Aerodromes!$B$2:$B$1048576)</f>
        <v>#N/A</v>
      </c>
      <c r="K393" s="13">
        <f t="shared" si="6"/>
        <v>0</v>
      </c>
      <c r="V393" s="34">
        <f>SUBTOTAL(9,$K$3:$K393)</f>
        <v>0</v>
      </c>
      <c r="W393" s="35">
        <f>SUBTOTAL(9,$R$3:$R393)</f>
        <v>0</v>
      </c>
      <c r="X393" s="36">
        <f>SUBTOTAL(9,$S$3:$S393)</f>
        <v>0</v>
      </c>
      <c r="Y393" s="23">
        <f>SUBTOTAL(9,$L$3:$L393)</f>
        <v>0</v>
      </c>
      <c r="Z393" s="10">
        <f>SUBTOTAL(9,$M$3:$M393)</f>
        <v>0</v>
      </c>
    </row>
    <row r="394" spans="3:26" x14ac:dyDescent="0.25">
      <c r="C394" s="9" t="e">
        <f>LOOKUP($B394,Aircrafts!$A$2:$A$1048576,Aircrafts!$B$2:$B$1048576)</f>
        <v>#N/A</v>
      </c>
      <c r="D394" s="10" t="e">
        <f>LOOKUP($B394,Aircrafts!$A$2:$A$1048576,Aircrafts!$C$2:$C$1048576)</f>
        <v>#N/A</v>
      </c>
      <c r="F394" s="10" t="e">
        <f>LOOKUP($E394,Aerodromes!$A$2:$A$1048576,Aerodromes!$B$2:$B$1048576)</f>
        <v>#N/A</v>
      </c>
      <c r="H394" s="10" t="e">
        <f>LOOKUP($G394,Aerodromes!$A$2:$A$1048576,Aerodromes!$B$2:$B$1048576)</f>
        <v>#N/A</v>
      </c>
      <c r="K394" s="13">
        <f t="shared" si="6"/>
        <v>0</v>
      </c>
      <c r="V394" s="34">
        <f>SUBTOTAL(9,$K$3:$K394)</f>
        <v>0</v>
      </c>
      <c r="W394" s="35">
        <f>SUBTOTAL(9,$R$3:$R394)</f>
        <v>0</v>
      </c>
      <c r="X394" s="36">
        <f>SUBTOTAL(9,$S$3:$S394)</f>
        <v>0</v>
      </c>
      <c r="Y394" s="23">
        <f>SUBTOTAL(9,$L$3:$L394)</f>
        <v>0</v>
      </c>
      <c r="Z394" s="10">
        <f>SUBTOTAL(9,$M$3:$M394)</f>
        <v>0</v>
      </c>
    </row>
    <row r="395" spans="3:26" x14ac:dyDescent="0.25">
      <c r="C395" s="9" t="e">
        <f>LOOKUP($B395,Aircrafts!$A$2:$A$1048576,Aircrafts!$B$2:$B$1048576)</f>
        <v>#N/A</v>
      </c>
      <c r="D395" s="10" t="e">
        <f>LOOKUP($B395,Aircrafts!$A$2:$A$1048576,Aircrafts!$C$2:$C$1048576)</f>
        <v>#N/A</v>
      </c>
      <c r="F395" s="10" t="e">
        <f>LOOKUP($E395,Aerodromes!$A$2:$A$1048576,Aerodromes!$B$2:$B$1048576)</f>
        <v>#N/A</v>
      </c>
      <c r="H395" s="10" t="e">
        <f>LOOKUP($G395,Aerodromes!$A$2:$A$1048576,Aerodromes!$B$2:$B$1048576)</f>
        <v>#N/A</v>
      </c>
      <c r="K395" s="13">
        <f t="shared" si="6"/>
        <v>0</v>
      </c>
      <c r="V395" s="34">
        <f>SUBTOTAL(9,$K$3:$K395)</f>
        <v>0</v>
      </c>
      <c r="W395" s="35">
        <f>SUBTOTAL(9,$R$3:$R395)</f>
        <v>0</v>
      </c>
      <c r="X395" s="36">
        <f>SUBTOTAL(9,$S$3:$S395)</f>
        <v>0</v>
      </c>
      <c r="Y395" s="23">
        <f>SUBTOTAL(9,$L$3:$L395)</f>
        <v>0</v>
      </c>
      <c r="Z395" s="10">
        <f>SUBTOTAL(9,$M$3:$M395)</f>
        <v>0</v>
      </c>
    </row>
    <row r="396" spans="3:26" x14ac:dyDescent="0.25">
      <c r="C396" s="9" t="e">
        <f>LOOKUP($B396,Aircrafts!$A$2:$A$1048576,Aircrafts!$B$2:$B$1048576)</f>
        <v>#N/A</v>
      </c>
      <c r="D396" s="10" t="e">
        <f>LOOKUP($B396,Aircrafts!$A$2:$A$1048576,Aircrafts!$C$2:$C$1048576)</f>
        <v>#N/A</v>
      </c>
      <c r="F396" s="10" t="e">
        <f>LOOKUP($E396,Aerodromes!$A$2:$A$1048576,Aerodromes!$B$2:$B$1048576)</f>
        <v>#N/A</v>
      </c>
      <c r="H396" s="10" t="e">
        <f>LOOKUP($G396,Aerodromes!$A$2:$A$1048576,Aerodromes!$B$2:$B$1048576)</f>
        <v>#N/A</v>
      </c>
      <c r="K396" s="13">
        <f t="shared" si="6"/>
        <v>0</v>
      </c>
      <c r="V396" s="34">
        <f>SUBTOTAL(9,$K$3:$K396)</f>
        <v>0</v>
      </c>
      <c r="W396" s="35">
        <f>SUBTOTAL(9,$R$3:$R396)</f>
        <v>0</v>
      </c>
      <c r="X396" s="36">
        <f>SUBTOTAL(9,$S$3:$S396)</f>
        <v>0</v>
      </c>
      <c r="Y396" s="23">
        <f>SUBTOTAL(9,$L$3:$L396)</f>
        <v>0</v>
      </c>
      <c r="Z396" s="10">
        <f>SUBTOTAL(9,$M$3:$M396)</f>
        <v>0</v>
      </c>
    </row>
    <row r="397" spans="3:26" x14ac:dyDescent="0.25">
      <c r="C397" s="9" t="e">
        <f>LOOKUP($B397,Aircrafts!$A$2:$A$1048576,Aircrafts!$B$2:$B$1048576)</f>
        <v>#N/A</v>
      </c>
      <c r="D397" s="10" t="e">
        <f>LOOKUP($B397,Aircrafts!$A$2:$A$1048576,Aircrafts!$C$2:$C$1048576)</f>
        <v>#N/A</v>
      </c>
      <c r="F397" s="10" t="e">
        <f>LOOKUP($E397,Aerodromes!$A$2:$A$1048576,Aerodromes!$B$2:$B$1048576)</f>
        <v>#N/A</v>
      </c>
      <c r="H397" s="10" t="e">
        <f>LOOKUP($G397,Aerodromes!$A$2:$A$1048576,Aerodromes!$B$2:$B$1048576)</f>
        <v>#N/A</v>
      </c>
      <c r="K397" s="13">
        <f t="shared" si="6"/>
        <v>0</v>
      </c>
      <c r="V397" s="34">
        <f>SUBTOTAL(9,$K$3:$K397)</f>
        <v>0</v>
      </c>
      <c r="W397" s="35">
        <f>SUBTOTAL(9,$R$3:$R397)</f>
        <v>0</v>
      </c>
      <c r="X397" s="36">
        <f>SUBTOTAL(9,$S$3:$S397)</f>
        <v>0</v>
      </c>
      <c r="Y397" s="23">
        <f>SUBTOTAL(9,$L$3:$L397)</f>
        <v>0</v>
      </c>
      <c r="Z397" s="10">
        <f>SUBTOTAL(9,$M$3:$M397)</f>
        <v>0</v>
      </c>
    </row>
    <row r="398" spans="3:26" x14ac:dyDescent="0.25">
      <c r="C398" s="9" t="e">
        <f>LOOKUP($B398,Aircrafts!$A$2:$A$1048576,Aircrafts!$B$2:$B$1048576)</f>
        <v>#N/A</v>
      </c>
      <c r="D398" s="10" t="e">
        <f>LOOKUP($B398,Aircrafts!$A$2:$A$1048576,Aircrafts!$C$2:$C$1048576)</f>
        <v>#N/A</v>
      </c>
      <c r="F398" s="10" t="e">
        <f>LOOKUP($E398,Aerodromes!$A$2:$A$1048576,Aerodromes!$B$2:$B$1048576)</f>
        <v>#N/A</v>
      </c>
      <c r="H398" s="10" t="e">
        <f>LOOKUP($G398,Aerodromes!$A$2:$A$1048576,Aerodromes!$B$2:$B$1048576)</f>
        <v>#N/A</v>
      </c>
      <c r="K398" s="13">
        <f t="shared" si="6"/>
        <v>0</v>
      </c>
      <c r="V398" s="34">
        <f>SUBTOTAL(9,$K$3:$K398)</f>
        <v>0</v>
      </c>
      <c r="W398" s="35">
        <f>SUBTOTAL(9,$R$3:$R398)</f>
        <v>0</v>
      </c>
      <c r="X398" s="36">
        <f>SUBTOTAL(9,$S$3:$S398)</f>
        <v>0</v>
      </c>
      <c r="Y398" s="23">
        <f>SUBTOTAL(9,$L$3:$L398)</f>
        <v>0</v>
      </c>
      <c r="Z398" s="10">
        <f>SUBTOTAL(9,$M$3:$M398)</f>
        <v>0</v>
      </c>
    </row>
    <row r="399" spans="3:26" x14ac:dyDescent="0.25">
      <c r="C399" s="9" t="e">
        <f>LOOKUP($B399,Aircrafts!$A$2:$A$1048576,Aircrafts!$B$2:$B$1048576)</f>
        <v>#N/A</v>
      </c>
      <c r="D399" s="10" t="e">
        <f>LOOKUP($B399,Aircrafts!$A$2:$A$1048576,Aircrafts!$C$2:$C$1048576)</f>
        <v>#N/A</v>
      </c>
      <c r="F399" s="10" t="e">
        <f>LOOKUP($E399,Aerodromes!$A$2:$A$1048576,Aerodromes!$B$2:$B$1048576)</f>
        <v>#N/A</v>
      </c>
      <c r="H399" s="10" t="e">
        <f>LOOKUP($G399,Aerodromes!$A$2:$A$1048576,Aerodromes!$B$2:$B$1048576)</f>
        <v>#N/A</v>
      </c>
      <c r="K399" s="13">
        <f t="shared" si="6"/>
        <v>0</v>
      </c>
      <c r="V399" s="34">
        <f>SUBTOTAL(9,$K$3:$K399)</f>
        <v>0</v>
      </c>
      <c r="W399" s="35">
        <f>SUBTOTAL(9,$R$3:$R399)</f>
        <v>0</v>
      </c>
      <c r="X399" s="36">
        <f>SUBTOTAL(9,$S$3:$S399)</f>
        <v>0</v>
      </c>
      <c r="Y399" s="23">
        <f>SUBTOTAL(9,$L$3:$L399)</f>
        <v>0</v>
      </c>
      <c r="Z399" s="10">
        <f>SUBTOTAL(9,$M$3:$M399)</f>
        <v>0</v>
      </c>
    </row>
    <row r="400" spans="3:26" x14ac:dyDescent="0.25">
      <c r="C400" s="9" t="e">
        <f>LOOKUP($B400,Aircrafts!$A$2:$A$1048576,Aircrafts!$B$2:$B$1048576)</f>
        <v>#N/A</v>
      </c>
      <c r="D400" s="10" t="e">
        <f>LOOKUP($B400,Aircrafts!$A$2:$A$1048576,Aircrafts!$C$2:$C$1048576)</f>
        <v>#N/A</v>
      </c>
      <c r="F400" s="10" t="e">
        <f>LOOKUP($E400,Aerodromes!$A$2:$A$1048576,Aerodromes!$B$2:$B$1048576)</f>
        <v>#N/A</v>
      </c>
      <c r="H400" s="10" t="e">
        <f>LOOKUP($G400,Aerodromes!$A$2:$A$1048576,Aerodromes!$B$2:$B$1048576)</f>
        <v>#N/A</v>
      </c>
      <c r="K400" s="13">
        <f t="shared" si="6"/>
        <v>0</v>
      </c>
      <c r="V400" s="34">
        <f>SUBTOTAL(9,$K$3:$K400)</f>
        <v>0</v>
      </c>
      <c r="W400" s="35">
        <f>SUBTOTAL(9,$R$3:$R400)</f>
        <v>0</v>
      </c>
      <c r="X400" s="36">
        <f>SUBTOTAL(9,$S$3:$S400)</f>
        <v>0</v>
      </c>
      <c r="Y400" s="23">
        <f>SUBTOTAL(9,$L$3:$L400)</f>
        <v>0</v>
      </c>
      <c r="Z400" s="10">
        <f>SUBTOTAL(9,$M$3:$M400)</f>
        <v>0</v>
      </c>
    </row>
    <row r="401" spans="3:26" x14ac:dyDescent="0.25">
      <c r="C401" s="9" t="e">
        <f>LOOKUP($B401,Aircrafts!$A$2:$A$1048576,Aircrafts!$B$2:$B$1048576)</f>
        <v>#N/A</v>
      </c>
      <c r="D401" s="10" t="e">
        <f>LOOKUP($B401,Aircrafts!$A$2:$A$1048576,Aircrafts!$C$2:$C$1048576)</f>
        <v>#N/A</v>
      </c>
      <c r="F401" s="10" t="e">
        <f>LOOKUP($E401,Aerodromes!$A$2:$A$1048576,Aerodromes!$B$2:$B$1048576)</f>
        <v>#N/A</v>
      </c>
      <c r="H401" s="10" t="e">
        <f>LOOKUP($G401,Aerodromes!$A$2:$A$1048576,Aerodromes!$B$2:$B$1048576)</f>
        <v>#N/A</v>
      </c>
      <c r="K401" s="13">
        <f t="shared" si="6"/>
        <v>0</v>
      </c>
      <c r="V401" s="34">
        <f>SUBTOTAL(9,$K$3:$K401)</f>
        <v>0</v>
      </c>
      <c r="W401" s="35">
        <f>SUBTOTAL(9,$R$3:$R401)</f>
        <v>0</v>
      </c>
      <c r="X401" s="36">
        <f>SUBTOTAL(9,$S$3:$S401)</f>
        <v>0</v>
      </c>
      <c r="Y401" s="23">
        <f>SUBTOTAL(9,$L$3:$L401)</f>
        <v>0</v>
      </c>
      <c r="Z401" s="10">
        <f>SUBTOTAL(9,$M$3:$M401)</f>
        <v>0</v>
      </c>
    </row>
    <row r="402" spans="3:26" x14ac:dyDescent="0.25">
      <c r="C402" s="9" t="e">
        <f>LOOKUP($B402,Aircrafts!$A$2:$A$1048576,Aircrafts!$B$2:$B$1048576)</f>
        <v>#N/A</v>
      </c>
      <c r="D402" s="10" t="e">
        <f>LOOKUP($B402,Aircrafts!$A$2:$A$1048576,Aircrafts!$C$2:$C$1048576)</f>
        <v>#N/A</v>
      </c>
      <c r="F402" s="10" t="e">
        <f>LOOKUP($E402,Aerodromes!$A$2:$A$1048576,Aerodromes!$B$2:$B$1048576)</f>
        <v>#N/A</v>
      </c>
      <c r="H402" s="10" t="e">
        <f>LOOKUP($G402,Aerodromes!$A$2:$A$1048576,Aerodromes!$B$2:$B$1048576)</f>
        <v>#N/A</v>
      </c>
      <c r="K402" s="13">
        <f t="shared" si="6"/>
        <v>0</v>
      </c>
      <c r="V402" s="34">
        <f>SUBTOTAL(9,$K$3:$K402)</f>
        <v>0</v>
      </c>
      <c r="W402" s="35">
        <f>SUBTOTAL(9,$R$3:$R402)</f>
        <v>0</v>
      </c>
      <c r="X402" s="36">
        <f>SUBTOTAL(9,$S$3:$S402)</f>
        <v>0</v>
      </c>
      <c r="Y402" s="23">
        <f>SUBTOTAL(9,$L$3:$L402)</f>
        <v>0</v>
      </c>
      <c r="Z402" s="10">
        <f>SUBTOTAL(9,$M$3:$M402)</f>
        <v>0</v>
      </c>
    </row>
    <row r="403" spans="3:26" x14ac:dyDescent="0.25">
      <c r="C403" s="9" t="e">
        <f>LOOKUP($B403,Aircrafts!$A$2:$A$1048576,Aircrafts!$B$2:$B$1048576)</f>
        <v>#N/A</v>
      </c>
      <c r="D403" s="10" t="e">
        <f>LOOKUP($B403,Aircrafts!$A$2:$A$1048576,Aircrafts!$C$2:$C$1048576)</f>
        <v>#N/A</v>
      </c>
      <c r="F403" s="10" t="e">
        <f>LOOKUP($E403,Aerodromes!$A$2:$A$1048576,Aerodromes!$B$2:$B$1048576)</f>
        <v>#N/A</v>
      </c>
      <c r="H403" s="10" t="e">
        <f>LOOKUP($G403,Aerodromes!$A$2:$A$1048576,Aerodromes!$B$2:$B$1048576)</f>
        <v>#N/A</v>
      </c>
      <c r="K403" s="13">
        <f t="shared" si="6"/>
        <v>0</v>
      </c>
      <c r="V403" s="34">
        <f>SUBTOTAL(9,$K$3:$K403)</f>
        <v>0</v>
      </c>
      <c r="W403" s="35">
        <f>SUBTOTAL(9,$R$3:$R403)</f>
        <v>0</v>
      </c>
      <c r="X403" s="36">
        <f>SUBTOTAL(9,$S$3:$S403)</f>
        <v>0</v>
      </c>
      <c r="Y403" s="23">
        <f>SUBTOTAL(9,$L$3:$L403)</f>
        <v>0</v>
      </c>
      <c r="Z403" s="10">
        <f>SUBTOTAL(9,$M$3:$M403)</f>
        <v>0</v>
      </c>
    </row>
    <row r="404" spans="3:26" x14ac:dyDescent="0.25">
      <c r="C404" s="9" t="e">
        <f>LOOKUP($B404,Aircrafts!$A$2:$A$1048576,Aircrafts!$B$2:$B$1048576)</f>
        <v>#N/A</v>
      </c>
      <c r="D404" s="10" t="e">
        <f>LOOKUP($B404,Aircrafts!$A$2:$A$1048576,Aircrafts!$C$2:$C$1048576)</f>
        <v>#N/A</v>
      </c>
      <c r="F404" s="10" t="e">
        <f>LOOKUP($E404,Aerodromes!$A$2:$A$1048576,Aerodromes!$B$2:$B$1048576)</f>
        <v>#N/A</v>
      </c>
      <c r="H404" s="10" t="e">
        <f>LOOKUP($G404,Aerodromes!$A$2:$A$1048576,Aerodromes!$B$2:$B$1048576)</f>
        <v>#N/A</v>
      </c>
      <c r="K404" s="13">
        <f t="shared" si="6"/>
        <v>0</v>
      </c>
      <c r="V404" s="34">
        <f>SUBTOTAL(9,$K$3:$K404)</f>
        <v>0</v>
      </c>
      <c r="W404" s="35">
        <f>SUBTOTAL(9,$R$3:$R404)</f>
        <v>0</v>
      </c>
      <c r="X404" s="36">
        <f>SUBTOTAL(9,$S$3:$S404)</f>
        <v>0</v>
      </c>
      <c r="Y404" s="23">
        <f>SUBTOTAL(9,$L$3:$L404)</f>
        <v>0</v>
      </c>
      <c r="Z404" s="10">
        <f>SUBTOTAL(9,$M$3:$M404)</f>
        <v>0</v>
      </c>
    </row>
    <row r="405" spans="3:26" x14ac:dyDescent="0.25">
      <c r="C405" s="9" t="e">
        <f>LOOKUP($B405,Aircrafts!$A$2:$A$1048576,Aircrafts!$B$2:$B$1048576)</f>
        <v>#N/A</v>
      </c>
      <c r="D405" s="10" t="e">
        <f>LOOKUP($B405,Aircrafts!$A$2:$A$1048576,Aircrafts!$C$2:$C$1048576)</f>
        <v>#N/A</v>
      </c>
      <c r="F405" s="10" t="e">
        <f>LOOKUP($E405,Aerodromes!$A$2:$A$1048576,Aerodromes!$B$2:$B$1048576)</f>
        <v>#N/A</v>
      </c>
      <c r="H405" s="10" t="e">
        <f>LOOKUP($G405,Aerodromes!$A$2:$A$1048576,Aerodromes!$B$2:$B$1048576)</f>
        <v>#N/A</v>
      </c>
      <c r="K405" s="13">
        <f t="shared" si="6"/>
        <v>0</v>
      </c>
      <c r="V405" s="34">
        <f>SUBTOTAL(9,$K$3:$K405)</f>
        <v>0</v>
      </c>
      <c r="W405" s="35">
        <f>SUBTOTAL(9,$R$3:$R405)</f>
        <v>0</v>
      </c>
      <c r="X405" s="36">
        <f>SUBTOTAL(9,$S$3:$S405)</f>
        <v>0</v>
      </c>
      <c r="Y405" s="23">
        <f>SUBTOTAL(9,$L$3:$L405)</f>
        <v>0</v>
      </c>
      <c r="Z405" s="10">
        <f>SUBTOTAL(9,$M$3:$M405)</f>
        <v>0</v>
      </c>
    </row>
    <row r="406" spans="3:26" x14ac:dyDescent="0.25">
      <c r="C406" s="9" t="e">
        <f>LOOKUP($B406,Aircrafts!$A$2:$A$1048576,Aircrafts!$B$2:$B$1048576)</f>
        <v>#N/A</v>
      </c>
      <c r="D406" s="10" t="e">
        <f>LOOKUP($B406,Aircrafts!$A$2:$A$1048576,Aircrafts!$C$2:$C$1048576)</f>
        <v>#N/A</v>
      </c>
      <c r="F406" s="10" t="e">
        <f>LOOKUP($E406,Aerodromes!$A$2:$A$1048576,Aerodromes!$B$2:$B$1048576)</f>
        <v>#N/A</v>
      </c>
      <c r="H406" s="10" t="e">
        <f>LOOKUP($G406,Aerodromes!$A$2:$A$1048576,Aerodromes!$B$2:$B$1048576)</f>
        <v>#N/A</v>
      </c>
      <c r="K406" s="13">
        <f t="shared" si="6"/>
        <v>0</v>
      </c>
      <c r="V406" s="34">
        <f>SUBTOTAL(9,$K$3:$K406)</f>
        <v>0</v>
      </c>
      <c r="W406" s="35">
        <f>SUBTOTAL(9,$R$3:$R406)</f>
        <v>0</v>
      </c>
      <c r="X406" s="36">
        <f>SUBTOTAL(9,$S$3:$S406)</f>
        <v>0</v>
      </c>
      <c r="Y406" s="23">
        <f>SUBTOTAL(9,$L$3:$L406)</f>
        <v>0</v>
      </c>
      <c r="Z406" s="10">
        <f>SUBTOTAL(9,$M$3:$M406)</f>
        <v>0</v>
      </c>
    </row>
    <row r="407" spans="3:26" x14ac:dyDescent="0.25">
      <c r="C407" s="9" t="e">
        <f>LOOKUP($B407,Aircrafts!$A$2:$A$1048576,Aircrafts!$B$2:$B$1048576)</f>
        <v>#N/A</v>
      </c>
      <c r="D407" s="10" t="e">
        <f>LOOKUP($B407,Aircrafts!$A$2:$A$1048576,Aircrafts!$C$2:$C$1048576)</f>
        <v>#N/A</v>
      </c>
      <c r="F407" s="10" t="e">
        <f>LOOKUP($E407,Aerodromes!$A$2:$A$1048576,Aerodromes!$B$2:$B$1048576)</f>
        <v>#N/A</v>
      </c>
      <c r="H407" s="10" t="e">
        <f>LOOKUP($G407,Aerodromes!$A$2:$A$1048576,Aerodromes!$B$2:$B$1048576)</f>
        <v>#N/A</v>
      </c>
      <c r="K407" s="13">
        <f t="shared" si="6"/>
        <v>0</v>
      </c>
      <c r="V407" s="34">
        <f>SUBTOTAL(9,$K$3:$K407)</f>
        <v>0</v>
      </c>
      <c r="W407" s="35">
        <f>SUBTOTAL(9,$R$3:$R407)</f>
        <v>0</v>
      </c>
      <c r="X407" s="36">
        <f>SUBTOTAL(9,$S$3:$S407)</f>
        <v>0</v>
      </c>
      <c r="Y407" s="23">
        <f>SUBTOTAL(9,$L$3:$L407)</f>
        <v>0</v>
      </c>
      <c r="Z407" s="10">
        <f>SUBTOTAL(9,$M$3:$M407)</f>
        <v>0</v>
      </c>
    </row>
    <row r="408" spans="3:26" x14ac:dyDescent="0.25">
      <c r="C408" s="9" t="e">
        <f>LOOKUP($B408,Aircrafts!$A$2:$A$1048576,Aircrafts!$B$2:$B$1048576)</f>
        <v>#N/A</v>
      </c>
      <c r="D408" s="10" t="e">
        <f>LOOKUP($B408,Aircrafts!$A$2:$A$1048576,Aircrafts!$C$2:$C$1048576)</f>
        <v>#N/A</v>
      </c>
      <c r="F408" s="10" t="e">
        <f>LOOKUP($E408,Aerodromes!$A$2:$A$1048576,Aerodromes!$B$2:$B$1048576)</f>
        <v>#N/A</v>
      </c>
      <c r="H408" s="10" t="e">
        <f>LOOKUP($G408,Aerodromes!$A$2:$A$1048576,Aerodromes!$B$2:$B$1048576)</f>
        <v>#N/A</v>
      </c>
      <c r="K408" s="13">
        <f t="shared" si="6"/>
        <v>0</v>
      </c>
      <c r="V408" s="34">
        <f>SUBTOTAL(9,$K$3:$K408)</f>
        <v>0</v>
      </c>
      <c r="W408" s="35">
        <f>SUBTOTAL(9,$R$3:$R408)</f>
        <v>0</v>
      </c>
      <c r="X408" s="36">
        <f>SUBTOTAL(9,$S$3:$S408)</f>
        <v>0</v>
      </c>
      <c r="Y408" s="23">
        <f>SUBTOTAL(9,$L$3:$L408)</f>
        <v>0</v>
      </c>
      <c r="Z408" s="10">
        <f>SUBTOTAL(9,$M$3:$M408)</f>
        <v>0</v>
      </c>
    </row>
    <row r="409" spans="3:26" x14ac:dyDescent="0.25">
      <c r="C409" s="9" t="e">
        <f>LOOKUP($B409,Aircrafts!$A$2:$A$1048576,Aircrafts!$B$2:$B$1048576)</f>
        <v>#N/A</v>
      </c>
      <c r="D409" s="10" t="e">
        <f>LOOKUP($B409,Aircrafts!$A$2:$A$1048576,Aircrafts!$C$2:$C$1048576)</f>
        <v>#N/A</v>
      </c>
      <c r="F409" s="10" t="e">
        <f>LOOKUP($E409,Aerodromes!$A$2:$A$1048576,Aerodromes!$B$2:$B$1048576)</f>
        <v>#N/A</v>
      </c>
      <c r="H409" s="10" t="e">
        <f>LOOKUP($G409,Aerodromes!$A$2:$A$1048576,Aerodromes!$B$2:$B$1048576)</f>
        <v>#N/A</v>
      </c>
      <c r="K409" s="13">
        <f t="shared" si="6"/>
        <v>0</v>
      </c>
      <c r="V409" s="34">
        <f>SUBTOTAL(9,$K$3:$K409)</f>
        <v>0</v>
      </c>
      <c r="W409" s="35">
        <f>SUBTOTAL(9,$R$3:$R409)</f>
        <v>0</v>
      </c>
      <c r="X409" s="36">
        <f>SUBTOTAL(9,$S$3:$S409)</f>
        <v>0</v>
      </c>
      <c r="Y409" s="23">
        <f>SUBTOTAL(9,$L$3:$L409)</f>
        <v>0</v>
      </c>
      <c r="Z409" s="10">
        <f>SUBTOTAL(9,$M$3:$M409)</f>
        <v>0</v>
      </c>
    </row>
    <row r="410" spans="3:26" x14ac:dyDescent="0.25">
      <c r="C410" s="9" t="e">
        <f>LOOKUP($B410,Aircrafts!$A$2:$A$1048576,Aircrafts!$B$2:$B$1048576)</f>
        <v>#N/A</v>
      </c>
      <c r="D410" s="10" t="e">
        <f>LOOKUP($B410,Aircrafts!$A$2:$A$1048576,Aircrafts!$C$2:$C$1048576)</f>
        <v>#N/A</v>
      </c>
      <c r="F410" s="10" t="e">
        <f>LOOKUP($E410,Aerodromes!$A$2:$A$1048576,Aerodromes!$B$2:$B$1048576)</f>
        <v>#N/A</v>
      </c>
      <c r="H410" s="10" t="e">
        <f>LOOKUP($G410,Aerodromes!$A$2:$A$1048576,Aerodromes!$B$2:$B$1048576)</f>
        <v>#N/A</v>
      </c>
      <c r="K410" s="13">
        <f t="shared" si="6"/>
        <v>0</v>
      </c>
      <c r="V410" s="34">
        <f>SUBTOTAL(9,$K$3:$K410)</f>
        <v>0</v>
      </c>
      <c r="W410" s="35">
        <f>SUBTOTAL(9,$R$3:$R410)</f>
        <v>0</v>
      </c>
      <c r="X410" s="36">
        <f>SUBTOTAL(9,$S$3:$S410)</f>
        <v>0</v>
      </c>
      <c r="Y410" s="23">
        <f>SUBTOTAL(9,$L$3:$L410)</f>
        <v>0</v>
      </c>
      <c r="Z410" s="10">
        <f>SUBTOTAL(9,$M$3:$M410)</f>
        <v>0</v>
      </c>
    </row>
    <row r="411" spans="3:26" x14ac:dyDescent="0.25">
      <c r="C411" s="9" t="e">
        <f>LOOKUP($B411,Aircrafts!$A$2:$A$1048576,Aircrafts!$B$2:$B$1048576)</f>
        <v>#N/A</v>
      </c>
      <c r="D411" s="10" t="e">
        <f>LOOKUP($B411,Aircrafts!$A$2:$A$1048576,Aircrafts!$C$2:$C$1048576)</f>
        <v>#N/A</v>
      </c>
      <c r="F411" s="10" t="e">
        <f>LOOKUP($E411,Aerodromes!$A$2:$A$1048576,Aerodromes!$B$2:$B$1048576)</f>
        <v>#N/A</v>
      </c>
      <c r="H411" s="10" t="e">
        <f>LOOKUP($G411,Aerodromes!$A$2:$A$1048576,Aerodromes!$B$2:$B$1048576)</f>
        <v>#N/A</v>
      </c>
      <c r="K411" s="13">
        <f t="shared" si="6"/>
        <v>0</v>
      </c>
      <c r="V411" s="34">
        <f>SUBTOTAL(9,$K$3:$K411)</f>
        <v>0</v>
      </c>
      <c r="W411" s="35">
        <f>SUBTOTAL(9,$R$3:$R411)</f>
        <v>0</v>
      </c>
      <c r="X411" s="36">
        <f>SUBTOTAL(9,$S$3:$S411)</f>
        <v>0</v>
      </c>
      <c r="Y411" s="23">
        <f>SUBTOTAL(9,$L$3:$L411)</f>
        <v>0</v>
      </c>
      <c r="Z411" s="10">
        <f>SUBTOTAL(9,$M$3:$M411)</f>
        <v>0</v>
      </c>
    </row>
    <row r="412" spans="3:26" x14ac:dyDescent="0.25">
      <c r="C412" s="9" t="e">
        <f>LOOKUP($B412,Aircrafts!$A$2:$A$1048576,Aircrafts!$B$2:$B$1048576)</f>
        <v>#N/A</v>
      </c>
      <c r="D412" s="10" t="e">
        <f>LOOKUP($B412,Aircrafts!$A$2:$A$1048576,Aircrafts!$C$2:$C$1048576)</f>
        <v>#N/A</v>
      </c>
      <c r="F412" s="10" t="e">
        <f>LOOKUP($E412,Aerodromes!$A$2:$A$1048576,Aerodromes!$B$2:$B$1048576)</f>
        <v>#N/A</v>
      </c>
      <c r="H412" s="10" t="e">
        <f>LOOKUP($G412,Aerodromes!$A$2:$A$1048576,Aerodromes!$B$2:$B$1048576)</f>
        <v>#N/A</v>
      </c>
      <c r="K412" s="13">
        <f t="shared" si="6"/>
        <v>0</v>
      </c>
      <c r="V412" s="34">
        <f>SUBTOTAL(9,$K$3:$K412)</f>
        <v>0</v>
      </c>
      <c r="W412" s="35">
        <f>SUBTOTAL(9,$R$3:$R412)</f>
        <v>0</v>
      </c>
      <c r="X412" s="36">
        <f>SUBTOTAL(9,$S$3:$S412)</f>
        <v>0</v>
      </c>
      <c r="Y412" s="23">
        <f>SUBTOTAL(9,$L$3:$L412)</f>
        <v>0</v>
      </c>
      <c r="Z412" s="10">
        <f>SUBTOTAL(9,$M$3:$M412)</f>
        <v>0</v>
      </c>
    </row>
    <row r="413" spans="3:26" x14ac:dyDescent="0.25">
      <c r="C413" s="9" t="e">
        <f>LOOKUP($B413,Aircrafts!$A$2:$A$1048576,Aircrafts!$B$2:$B$1048576)</f>
        <v>#N/A</v>
      </c>
      <c r="D413" s="10" t="e">
        <f>LOOKUP($B413,Aircrafts!$A$2:$A$1048576,Aircrafts!$C$2:$C$1048576)</f>
        <v>#N/A</v>
      </c>
      <c r="F413" s="10" t="e">
        <f>LOOKUP($E413,Aerodromes!$A$2:$A$1048576,Aerodromes!$B$2:$B$1048576)</f>
        <v>#N/A</v>
      </c>
      <c r="H413" s="10" t="e">
        <f>LOOKUP($G413,Aerodromes!$A$2:$A$1048576,Aerodromes!$B$2:$B$1048576)</f>
        <v>#N/A</v>
      </c>
      <c r="K413" s="13">
        <f t="shared" si="6"/>
        <v>0</v>
      </c>
      <c r="V413" s="34">
        <f>SUBTOTAL(9,$K$3:$K413)</f>
        <v>0</v>
      </c>
      <c r="W413" s="35">
        <f>SUBTOTAL(9,$R$3:$R413)</f>
        <v>0</v>
      </c>
      <c r="X413" s="36">
        <f>SUBTOTAL(9,$S$3:$S413)</f>
        <v>0</v>
      </c>
      <c r="Y413" s="23">
        <f>SUBTOTAL(9,$L$3:$L413)</f>
        <v>0</v>
      </c>
      <c r="Z413" s="10">
        <f>SUBTOTAL(9,$M$3:$M413)</f>
        <v>0</v>
      </c>
    </row>
    <row r="414" spans="3:26" x14ac:dyDescent="0.25">
      <c r="C414" s="9" t="e">
        <f>LOOKUP($B414,Aircrafts!$A$2:$A$1048576,Aircrafts!$B$2:$B$1048576)</f>
        <v>#N/A</v>
      </c>
      <c r="D414" s="10" t="e">
        <f>LOOKUP($B414,Aircrafts!$A$2:$A$1048576,Aircrafts!$C$2:$C$1048576)</f>
        <v>#N/A</v>
      </c>
      <c r="F414" s="10" t="e">
        <f>LOOKUP($E414,Aerodromes!$A$2:$A$1048576,Aerodromes!$B$2:$B$1048576)</f>
        <v>#N/A</v>
      </c>
      <c r="H414" s="10" t="e">
        <f>LOOKUP($G414,Aerodromes!$A$2:$A$1048576,Aerodromes!$B$2:$B$1048576)</f>
        <v>#N/A</v>
      </c>
      <c r="K414" s="13">
        <f t="shared" si="6"/>
        <v>0</v>
      </c>
      <c r="V414" s="34">
        <f>SUBTOTAL(9,$K$3:$K414)</f>
        <v>0</v>
      </c>
      <c r="W414" s="35">
        <f>SUBTOTAL(9,$R$3:$R414)</f>
        <v>0</v>
      </c>
      <c r="X414" s="36">
        <f>SUBTOTAL(9,$S$3:$S414)</f>
        <v>0</v>
      </c>
      <c r="Y414" s="23">
        <f>SUBTOTAL(9,$L$3:$L414)</f>
        <v>0</v>
      </c>
      <c r="Z414" s="10">
        <f>SUBTOTAL(9,$M$3:$M414)</f>
        <v>0</v>
      </c>
    </row>
    <row r="415" spans="3:26" x14ac:dyDescent="0.25">
      <c r="C415" s="9" t="e">
        <f>LOOKUP($B415,Aircrafts!$A$2:$A$1048576,Aircrafts!$B$2:$B$1048576)</f>
        <v>#N/A</v>
      </c>
      <c r="D415" s="10" t="e">
        <f>LOOKUP($B415,Aircrafts!$A$2:$A$1048576,Aircrafts!$C$2:$C$1048576)</f>
        <v>#N/A</v>
      </c>
      <c r="F415" s="10" t="e">
        <f>LOOKUP($E415,Aerodromes!$A$2:$A$1048576,Aerodromes!$B$2:$B$1048576)</f>
        <v>#N/A</v>
      </c>
      <c r="H415" s="10" t="e">
        <f>LOOKUP($G415,Aerodromes!$A$2:$A$1048576,Aerodromes!$B$2:$B$1048576)</f>
        <v>#N/A</v>
      </c>
      <c r="K415" s="13">
        <f t="shared" si="6"/>
        <v>0</v>
      </c>
      <c r="V415" s="34">
        <f>SUBTOTAL(9,$K$3:$K415)</f>
        <v>0</v>
      </c>
      <c r="W415" s="35">
        <f>SUBTOTAL(9,$R$3:$R415)</f>
        <v>0</v>
      </c>
      <c r="X415" s="36">
        <f>SUBTOTAL(9,$S$3:$S415)</f>
        <v>0</v>
      </c>
      <c r="Y415" s="23">
        <f>SUBTOTAL(9,$L$3:$L415)</f>
        <v>0</v>
      </c>
      <c r="Z415" s="10">
        <f>SUBTOTAL(9,$M$3:$M415)</f>
        <v>0</v>
      </c>
    </row>
    <row r="416" spans="3:26" x14ac:dyDescent="0.25">
      <c r="C416" s="9" t="e">
        <f>LOOKUP($B416,Aircrafts!$A$2:$A$1048576,Aircrafts!$B$2:$B$1048576)</f>
        <v>#N/A</v>
      </c>
      <c r="D416" s="10" t="e">
        <f>LOOKUP($B416,Aircrafts!$A$2:$A$1048576,Aircrafts!$C$2:$C$1048576)</f>
        <v>#N/A</v>
      </c>
      <c r="F416" s="10" t="e">
        <f>LOOKUP($E416,Aerodromes!$A$2:$A$1048576,Aerodromes!$B$2:$B$1048576)</f>
        <v>#N/A</v>
      </c>
      <c r="H416" s="10" t="e">
        <f>LOOKUP($G416,Aerodromes!$A$2:$A$1048576,Aerodromes!$B$2:$B$1048576)</f>
        <v>#N/A</v>
      </c>
      <c r="K416" s="13">
        <f t="shared" si="6"/>
        <v>0</v>
      </c>
      <c r="V416" s="34">
        <f>SUBTOTAL(9,$K$3:$K416)</f>
        <v>0</v>
      </c>
      <c r="W416" s="35">
        <f>SUBTOTAL(9,$R$3:$R416)</f>
        <v>0</v>
      </c>
      <c r="X416" s="36">
        <f>SUBTOTAL(9,$S$3:$S416)</f>
        <v>0</v>
      </c>
      <c r="Y416" s="23">
        <f>SUBTOTAL(9,$L$3:$L416)</f>
        <v>0</v>
      </c>
      <c r="Z416" s="10">
        <f>SUBTOTAL(9,$M$3:$M416)</f>
        <v>0</v>
      </c>
    </row>
    <row r="417" spans="3:26" x14ac:dyDescent="0.25">
      <c r="C417" s="9" t="e">
        <f>LOOKUP($B417,Aircrafts!$A$2:$A$1048576,Aircrafts!$B$2:$B$1048576)</f>
        <v>#N/A</v>
      </c>
      <c r="D417" s="10" t="e">
        <f>LOOKUP($B417,Aircrafts!$A$2:$A$1048576,Aircrafts!$C$2:$C$1048576)</f>
        <v>#N/A</v>
      </c>
      <c r="F417" s="10" t="e">
        <f>LOOKUP($E417,Aerodromes!$A$2:$A$1048576,Aerodromes!$B$2:$B$1048576)</f>
        <v>#N/A</v>
      </c>
      <c r="H417" s="10" t="e">
        <f>LOOKUP($G417,Aerodromes!$A$2:$A$1048576,Aerodromes!$B$2:$B$1048576)</f>
        <v>#N/A</v>
      </c>
      <c r="K417" s="13">
        <f t="shared" si="6"/>
        <v>0</v>
      </c>
      <c r="V417" s="34">
        <f>SUBTOTAL(9,$K$3:$K417)</f>
        <v>0</v>
      </c>
      <c r="W417" s="35">
        <f>SUBTOTAL(9,$R$3:$R417)</f>
        <v>0</v>
      </c>
      <c r="X417" s="36">
        <f>SUBTOTAL(9,$S$3:$S417)</f>
        <v>0</v>
      </c>
      <c r="Y417" s="23">
        <f>SUBTOTAL(9,$L$3:$L417)</f>
        <v>0</v>
      </c>
      <c r="Z417" s="10">
        <f>SUBTOTAL(9,$M$3:$M417)</f>
        <v>0</v>
      </c>
    </row>
    <row r="418" spans="3:26" x14ac:dyDescent="0.25">
      <c r="C418" s="9" t="e">
        <f>LOOKUP($B418,Aircrafts!$A$2:$A$1048576,Aircrafts!$B$2:$B$1048576)</f>
        <v>#N/A</v>
      </c>
      <c r="D418" s="10" t="e">
        <f>LOOKUP($B418,Aircrafts!$A$2:$A$1048576,Aircrafts!$C$2:$C$1048576)</f>
        <v>#N/A</v>
      </c>
      <c r="F418" s="10" t="e">
        <f>LOOKUP($E418,Aerodromes!$A$2:$A$1048576,Aerodromes!$B$2:$B$1048576)</f>
        <v>#N/A</v>
      </c>
      <c r="H418" s="10" t="e">
        <f>LOOKUP($G418,Aerodromes!$A$2:$A$1048576,Aerodromes!$B$2:$B$1048576)</f>
        <v>#N/A</v>
      </c>
      <c r="K418" s="13">
        <f t="shared" si="6"/>
        <v>0</v>
      </c>
      <c r="V418" s="34">
        <f>SUBTOTAL(9,$K$3:$K418)</f>
        <v>0</v>
      </c>
      <c r="W418" s="35">
        <f>SUBTOTAL(9,$R$3:$R418)</f>
        <v>0</v>
      </c>
      <c r="X418" s="36">
        <f>SUBTOTAL(9,$S$3:$S418)</f>
        <v>0</v>
      </c>
      <c r="Y418" s="23">
        <f>SUBTOTAL(9,$L$3:$L418)</f>
        <v>0</v>
      </c>
      <c r="Z418" s="10">
        <f>SUBTOTAL(9,$M$3:$M418)</f>
        <v>0</v>
      </c>
    </row>
    <row r="419" spans="3:26" x14ac:dyDescent="0.25">
      <c r="C419" s="9" t="e">
        <f>LOOKUP($B419,Aircrafts!$A$2:$A$1048576,Aircrafts!$B$2:$B$1048576)</f>
        <v>#N/A</v>
      </c>
      <c r="D419" s="10" t="e">
        <f>LOOKUP($B419,Aircrafts!$A$2:$A$1048576,Aircrafts!$C$2:$C$1048576)</f>
        <v>#N/A</v>
      </c>
      <c r="F419" s="10" t="e">
        <f>LOOKUP($E419,Aerodromes!$A$2:$A$1048576,Aerodromes!$B$2:$B$1048576)</f>
        <v>#N/A</v>
      </c>
      <c r="H419" s="10" t="e">
        <f>LOOKUP($G419,Aerodromes!$A$2:$A$1048576,Aerodromes!$B$2:$B$1048576)</f>
        <v>#N/A</v>
      </c>
      <c r="K419" s="13">
        <f t="shared" si="6"/>
        <v>0</v>
      </c>
      <c r="V419" s="34">
        <f>SUBTOTAL(9,$K$3:$K419)</f>
        <v>0</v>
      </c>
      <c r="W419" s="35">
        <f>SUBTOTAL(9,$R$3:$R419)</f>
        <v>0</v>
      </c>
      <c r="X419" s="36">
        <f>SUBTOTAL(9,$S$3:$S419)</f>
        <v>0</v>
      </c>
      <c r="Y419" s="23">
        <f>SUBTOTAL(9,$L$3:$L419)</f>
        <v>0</v>
      </c>
      <c r="Z419" s="10">
        <f>SUBTOTAL(9,$M$3:$M419)</f>
        <v>0</v>
      </c>
    </row>
    <row r="420" spans="3:26" x14ac:dyDescent="0.25">
      <c r="C420" s="9" t="e">
        <f>LOOKUP($B420,Aircrafts!$A$2:$A$1048576,Aircrafts!$B$2:$B$1048576)</f>
        <v>#N/A</v>
      </c>
      <c r="D420" s="10" t="e">
        <f>LOOKUP($B420,Aircrafts!$A$2:$A$1048576,Aircrafts!$C$2:$C$1048576)</f>
        <v>#N/A</v>
      </c>
      <c r="F420" s="10" t="e">
        <f>LOOKUP($E420,Aerodromes!$A$2:$A$1048576,Aerodromes!$B$2:$B$1048576)</f>
        <v>#N/A</v>
      </c>
      <c r="H420" s="10" t="e">
        <f>LOOKUP($G420,Aerodromes!$A$2:$A$1048576,Aerodromes!$B$2:$B$1048576)</f>
        <v>#N/A</v>
      </c>
      <c r="K420" s="13">
        <f t="shared" si="6"/>
        <v>0</v>
      </c>
      <c r="V420" s="34">
        <f>SUBTOTAL(9,$K$3:$K420)</f>
        <v>0</v>
      </c>
      <c r="W420" s="35">
        <f>SUBTOTAL(9,$R$3:$R420)</f>
        <v>0</v>
      </c>
      <c r="X420" s="36">
        <f>SUBTOTAL(9,$S$3:$S420)</f>
        <v>0</v>
      </c>
      <c r="Y420" s="23">
        <f>SUBTOTAL(9,$L$3:$L420)</f>
        <v>0</v>
      </c>
      <c r="Z420" s="10">
        <f>SUBTOTAL(9,$M$3:$M420)</f>
        <v>0</v>
      </c>
    </row>
    <row r="421" spans="3:26" x14ac:dyDescent="0.25">
      <c r="C421" s="9" t="e">
        <f>LOOKUP($B421,Aircrafts!$A$2:$A$1048576,Aircrafts!$B$2:$B$1048576)</f>
        <v>#N/A</v>
      </c>
      <c r="D421" s="10" t="e">
        <f>LOOKUP($B421,Aircrafts!$A$2:$A$1048576,Aircrafts!$C$2:$C$1048576)</f>
        <v>#N/A</v>
      </c>
      <c r="F421" s="10" t="e">
        <f>LOOKUP($E421,Aerodromes!$A$2:$A$1048576,Aerodromes!$B$2:$B$1048576)</f>
        <v>#N/A</v>
      </c>
      <c r="H421" s="10" t="e">
        <f>LOOKUP($G421,Aerodromes!$A$2:$A$1048576,Aerodromes!$B$2:$B$1048576)</f>
        <v>#N/A</v>
      </c>
      <c r="K421" s="13">
        <f t="shared" si="6"/>
        <v>0</v>
      </c>
      <c r="V421" s="34">
        <f>SUBTOTAL(9,$K$3:$K421)</f>
        <v>0</v>
      </c>
      <c r="W421" s="35">
        <f>SUBTOTAL(9,$R$3:$R421)</f>
        <v>0</v>
      </c>
      <c r="X421" s="36">
        <f>SUBTOTAL(9,$S$3:$S421)</f>
        <v>0</v>
      </c>
      <c r="Y421" s="23">
        <f>SUBTOTAL(9,$L$3:$L421)</f>
        <v>0</v>
      </c>
      <c r="Z421" s="10">
        <f>SUBTOTAL(9,$M$3:$M421)</f>
        <v>0</v>
      </c>
    </row>
    <row r="422" spans="3:26" x14ac:dyDescent="0.25">
      <c r="C422" s="9" t="e">
        <f>LOOKUP($B422,Aircrafts!$A$2:$A$1048576,Aircrafts!$B$2:$B$1048576)</f>
        <v>#N/A</v>
      </c>
      <c r="D422" s="10" t="e">
        <f>LOOKUP($B422,Aircrafts!$A$2:$A$1048576,Aircrafts!$C$2:$C$1048576)</f>
        <v>#N/A</v>
      </c>
      <c r="F422" s="10" t="e">
        <f>LOOKUP($E422,Aerodromes!$A$2:$A$1048576,Aerodromes!$B$2:$B$1048576)</f>
        <v>#N/A</v>
      </c>
      <c r="H422" s="10" t="e">
        <f>LOOKUP($G422,Aerodromes!$A$2:$A$1048576,Aerodromes!$B$2:$B$1048576)</f>
        <v>#N/A</v>
      </c>
      <c r="K422" s="13">
        <f t="shared" si="6"/>
        <v>0</v>
      </c>
      <c r="V422" s="34">
        <f>SUBTOTAL(9,$K$3:$K422)</f>
        <v>0</v>
      </c>
      <c r="W422" s="35">
        <f>SUBTOTAL(9,$R$3:$R422)</f>
        <v>0</v>
      </c>
      <c r="X422" s="36">
        <f>SUBTOTAL(9,$S$3:$S422)</f>
        <v>0</v>
      </c>
      <c r="Y422" s="23">
        <f>SUBTOTAL(9,$L$3:$L422)</f>
        <v>0</v>
      </c>
      <c r="Z422" s="10">
        <f>SUBTOTAL(9,$M$3:$M422)</f>
        <v>0</v>
      </c>
    </row>
    <row r="423" spans="3:26" x14ac:dyDescent="0.25">
      <c r="C423" s="9" t="e">
        <f>LOOKUP($B423,Aircrafts!$A$2:$A$1048576,Aircrafts!$B$2:$B$1048576)</f>
        <v>#N/A</v>
      </c>
      <c r="D423" s="10" t="e">
        <f>LOOKUP($B423,Aircrafts!$A$2:$A$1048576,Aircrafts!$C$2:$C$1048576)</f>
        <v>#N/A</v>
      </c>
      <c r="F423" s="10" t="e">
        <f>LOOKUP($E423,Aerodromes!$A$2:$A$1048576,Aerodromes!$B$2:$B$1048576)</f>
        <v>#N/A</v>
      </c>
      <c r="H423" s="10" t="e">
        <f>LOOKUP($G423,Aerodromes!$A$2:$A$1048576,Aerodromes!$B$2:$B$1048576)</f>
        <v>#N/A</v>
      </c>
      <c r="K423" s="13">
        <f t="shared" si="6"/>
        <v>0</v>
      </c>
      <c r="V423" s="34">
        <f>SUBTOTAL(9,$K$3:$K423)</f>
        <v>0</v>
      </c>
      <c r="W423" s="35">
        <f>SUBTOTAL(9,$R$3:$R423)</f>
        <v>0</v>
      </c>
      <c r="X423" s="36">
        <f>SUBTOTAL(9,$S$3:$S423)</f>
        <v>0</v>
      </c>
      <c r="Y423" s="23">
        <f>SUBTOTAL(9,$L$3:$L423)</f>
        <v>0</v>
      </c>
      <c r="Z423" s="10">
        <f>SUBTOTAL(9,$M$3:$M423)</f>
        <v>0</v>
      </c>
    </row>
    <row r="424" spans="3:26" x14ac:dyDescent="0.25">
      <c r="C424" s="9" t="e">
        <f>LOOKUP($B424,Aircrafts!$A$2:$A$1048576,Aircrafts!$B$2:$B$1048576)</f>
        <v>#N/A</v>
      </c>
      <c r="D424" s="10" t="e">
        <f>LOOKUP($B424,Aircrafts!$A$2:$A$1048576,Aircrafts!$C$2:$C$1048576)</f>
        <v>#N/A</v>
      </c>
      <c r="F424" s="10" t="e">
        <f>LOOKUP($E424,Aerodromes!$A$2:$A$1048576,Aerodromes!$B$2:$B$1048576)</f>
        <v>#N/A</v>
      </c>
      <c r="H424" s="10" t="e">
        <f>LOOKUP($G424,Aerodromes!$A$2:$A$1048576,Aerodromes!$B$2:$B$1048576)</f>
        <v>#N/A</v>
      </c>
      <c r="K424" s="13">
        <f t="shared" si="6"/>
        <v>0</v>
      </c>
      <c r="V424" s="34">
        <f>SUBTOTAL(9,$K$3:$K424)</f>
        <v>0</v>
      </c>
      <c r="W424" s="35">
        <f>SUBTOTAL(9,$R$3:$R424)</f>
        <v>0</v>
      </c>
      <c r="X424" s="36">
        <f>SUBTOTAL(9,$S$3:$S424)</f>
        <v>0</v>
      </c>
      <c r="Y424" s="23">
        <f>SUBTOTAL(9,$L$3:$L424)</f>
        <v>0</v>
      </c>
      <c r="Z424" s="10">
        <f>SUBTOTAL(9,$M$3:$M424)</f>
        <v>0</v>
      </c>
    </row>
    <row r="425" spans="3:26" x14ac:dyDescent="0.25">
      <c r="C425" s="9" t="e">
        <f>LOOKUP($B425,Aircrafts!$A$2:$A$1048576,Aircrafts!$B$2:$B$1048576)</f>
        <v>#N/A</v>
      </c>
      <c r="D425" s="10" t="e">
        <f>LOOKUP($B425,Aircrafts!$A$2:$A$1048576,Aircrafts!$C$2:$C$1048576)</f>
        <v>#N/A</v>
      </c>
      <c r="F425" s="10" t="e">
        <f>LOOKUP($E425,Aerodromes!$A$2:$A$1048576,Aerodromes!$B$2:$B$1048576)</f>
        <v>#N/A</v>
      </c>
      <c r="H425" s="10" t="e">
        <f>LOOKUP($G425,Aerodromes!$A$2:$A$1048576,Aerodromes!$B$2:$B$1048576)</f>
        <v>#N/A</v>
      </c>
      <c r="K425" s="13">
        <f t="shared" si="6"/>
        <v>0</v>
      </c>
      <c r="V425" s="34">
        <f>SUBTOTAL(9,$K$3:$K425)</f>
        <v>0</v>
      </c>
      <c r="W425" s="35">
        <f>SUBTOTAL(9,$R$3:$R425)</f>
        <v>0</v>
      </c>
      <c r="X425" s="36">
        <f>SUBTOTAL(9,$S$3:$S425)</f>
        <v>0</v>
      </c>
      <c r="Y425" s="23">
        <f>SUBTOTAL(9,$L$3:$L425)</f>
        <v>0</v>
      </c>
      <c r="Z425" s="10">
        <f>SUBTOTAL(9,$M$3:$M425)</f>
        <v>0</v>
      </c>
    </row>
    <row r="426" spans="3:26" x14ac:dyDescent="0.25">
      <c r="C426" s="9" t="e">
        <f>LOOKUP($B426,Aircrafts!$A$2:$A$1048576,Aircrafts!$B$2:$B$1048576)</f>
        <v>#N/A</v>
      </c>
      <c r="D426" s="10" t="e">
        <f>LOOKUP($B426,Aircrafts!$A$2:$A$1048576,Aircrafts!$C$2:$C$1048576)</f>
        <v>#N/A</v>
      </c>
      <c r="F426" s="10" t="e">
        <f>LOOKUP($E426,Aerodromes!$A$2:$A$1048576,Aerodromes!$B$2:$B$1048576)</f>
        <v>#N/A</v>
      </c>
      <c r="H426" s="10" t="e">
        <f>LOOKUP($G426,Aerodromes!$A$2:$A$1048576,Aerodromes!$B$2:$B$1048576)</f>
        <v>#N/A</v>
      </c>
      <c r="K426" s="13">
        <f t="shared" si="6"/>
        <v>0</v>
      </c>
      <c r="V426" s="34">
        <f>SUBTOTAL(9,$K$3:$K426)</f>
        <v>0</v>
      </c>
      <c r="W426" s="35">
        <f>SUBTOTAL(9,$R$3:$R426)</f>
        <v>0</v>
      </c>
      <c r="X426" s="36">
        <f>SUBTOTAL(9,$S$3:$S426)</f>
        <v>0</v>
      </c>
      <c r="Y426" s="23">
        <f>SUBTOTAL(9,$L$3:$L426)</f>
        <v>0</v>
      </c>
      <c r="Z426" s="10">
        <f>SUBTOTAL(9,$M$3:$M426)</f>
        <v>0</v>
      </c>
    </row>
    <row r="427" spans="3:26" x14ac:dyDescent="0.25">
      <c r="C427" s="9" t="e">
        <f>LOOKUP($B427,Aircrafts!$A$2:$A$1048576,Aircrafts!$B$2:$B$1048576)</f>
        <v>#N/A</v>
      </c>
      <c r="D427" s="10" t="e">
        <f>LOOKUP($B427,Aircrafts!$A$2:$A$1048576,Aircrafts!$C$2:$C$1048576)</f>
        <v>#N/A</v>
      </c>
      <c r="F427" s="10" t="e">
        <f>LOOKUP($E427,Aerodromes!$A$2:$A$1048576,Aerodromes!$B$2:$B$1048576)</f>
        <v>#N/A</v>
      </c>
      <c r="H427" s="10" t="e">
        <f>LOOKUP($G427,Aerodromes!$A$2:$A$1048576,Aerodromes!$B$2:$B$1048576)</f>
        <v>#N/A</v>
      </c>
      <c r="K427" s="13">
        <f t="shared" si="6"/>
        <v>0</v>
      </c>
      <c r="V427" s="34">
        <f>SUBTOTAL(9,$K$3:$K427)</f>
        <v>0</v>
      </c>
      <c r="W427" s="35">
        <f>SUBTOTAL(9,$R$3:$R427)</f>
        <v>0</v>
      </c>
      <c r="X427" s="36">
        <f>SUBTOTAL(9,$S$3:$S427)</f>
        <v>0</v>
      </c>
      <c r="Y427" s="23">
        <f>SUBTOTAL(9,$L$3:$L427)</f>
        <v>0</v>
      </c>
      <c r="Z427" s="10">
        <f>SUBTOTAL(9,$M$3:$M427)</f>
        <v>0</v>
      </c>
    </row>
    <row r="428" spans="3:26" x14ac:dyDescent="0.25">
      <c r="C428" s="9" t="e">
        <f>LOOKUP($B428,Aircrafts!$A$2:$A$1048576,Aircrafts!$B$2:$B$1048576)</f>
        <v>#N/A</v>
      </c>
      <c r="D428" s="10" t="e">
        <f>LOOKUP($B428,Aircrafts!$A$2:$A$1048576,Aircrafts!$C$2:$C$1048576)</f>
        <v>#N/A</v>
      </c>
      <c r="F428" s="10" t="e">
        <f>LOOKUP($E428,Aerodromes!$A$2:$A$1048576,Aerodromes!$B$2:$B$1048576)</f>
        <v>#N/A</v>
      </c>
      <c r="H428" s="10" t="e">
        <f>LOOKUP($G428,Aerodromes!$A$2:$A$1048576,Aerodromes!$B$2:$B$1048576)</f>
        <v>#N/A</v>
      </c>
      <c r="K428" s="13">
        <f t="shared" si="6"/>
        <v>0</v>
      </c>
      <c r="V428" s="34">
        <f>SUBTOTAL(9,$K$3:$K428)</f>
        <v>0</v>
      </c>
      <c r="W428" s="35">
        <f>SUBTOTAL(9,$R$3:$R428)</f>
        <v>0</v>
      </c>
      <c r="X428" s="36">
        <f>SUBTOTAL(9,$S$3:$S428)</f>
        <v>0</v>
      </c>
      <c r="Y428" s="23">
        <f>SUBTOTAL(9,$L$3:$L428)</f>
        <v>0</v>
      </c>
      <c r="Z428" s="10">
        <f>SUBTOTAL(9,$M$3:$M428)</f>
        <v>0</v>
      </c>
    </row>
    <row r="429" spans="3:26" x14ac:dyDescent="0.25">
      <c r="C429" s="9" t="e">
        <f>LOOKUP($B429,Aircrafts!$A$2:$A$1048576,Aircrafts!$B$2:$B$1048576)</f>
        <v>#N/A</v>
      </c>
      <c r="D429" s="10" t="e">
        <f>LOOKUP($B429,Aircrafts!$A$2:$A$1048576,Aircrafts!$C$2:$C$1048576)</f>
        <v>#N/A</v>
      </c>
      <c r="F429" s="10" t="e">
        <f>LOOKUP($E429,Aerodromes!$A$2:$A$1048576,Aerodromes!$B$2:$B$1048576)</f>
        <v>#N/A</v>
      </c>
      <c r="H429" s="10" t="e">
        <f>LOOKUP($G429,Aerodromes!$A$2:$A$1048576,Aerodromes!$B$2:$B$1048576)</f>
        <v>#N/A</v>
      </c>
      <c r="K429" s="13">
        <f t="shared" si="6"/>
        <v>0</v>
      </c>
      <c r="V429" s="34">
        <f>SUBTOTAL(9,$K$3:$K429)</f>
        <v>0</v>
      </c>
      <c r="W429" s="35">
        <f>SUBTOTAL(9,$R$3:$R429)</f>
        <v>0</v>
      </c>
      <c r="X429" s="36">
        <f>SUBTOTAL(9,$S$3:$S429)</f>
        <v>0</v>
      </c>
      <c r="Y429" s="23">
        <f>SUBTOTAL(9,$L$3:$L429)</f>
        <v>0</v>
      </c>
      <c r="Z429" s="10">
        <f>SUBTOTAL(9,$M$3:$M429)</f>
        <v>0</v>
      </c>
    </row>
    <row r="430" spans="3:26" x14ac:dyDescent="0.25">
      <c r="C430" s="9" t="e">
        <f>LOOKUP($B430,Aircrafts!$A$2:$A$1048576,Aircrafts!$B$2:$B$1048576)</f>
        <v>#N/A</v>
      </c>
      <c r="D430" s="10" t="e">
        <f>LOOKUP($B430,Aircrafts!$A$2:$A$1048576,Aircrafts!$C$2:$C$1048576)</f>
        <v>#N/A</v>
      </c>
      <c r="F430" s="10" t="e">
        <f>LOOKUP($E430,Aerodromes!$A$2:$A$1048576,Aerodromes!$B$2:$B$1048576)</f>
        <v>#N/A</v>
      </c>
      <c r="H430" s="10" t="e">
        <f>LOOKUP($G430,Aerodromes!$A$2:$A$1048576,Aerodromes!$B$2:$B$1048576)</f>
        <v>#N/A</v>
      </c>
      <c r="K430" s="13">
        <f t="shared" si="6"/>
        <v>0</v>
      </c>
      <c r="V430" s="34">
        <f>SUBTOTAL(9,$K$3:$K430)</f>
        <v>0</v>
      </c>
      <c r="W430" s="35">
        <f>SUBTOTAL(9,$R$3:$R430)</f>
        <v>0</v>
      </c>
      <c r="X430" s="36">
        <f>SUBTOTAL(9,$S$3:$S430)</f>
        <v>0</v>
      </c>
      <c r="Y430" s="23">
        <f>SUBTOTAL(9,$L$3:$L430)</f>
        <v>0</v>
      </c>
      <c r="Z430" s="10">
        <f>SUBTOTAL(9,$M$3:$M430)</f>
        <v>0</v>
      </c>
    </row>
    <row r="431" spans="3:26" x14ac:dyDescent="0.25">
      <c r="C431" s="9" t="e">
        <f>LOOKUP($B431,Aircrafts!$A$2:$A$1048576,Aircrafts!$B$2:$B$1048576)</f>
        <v>#N/A</v>
      </c>
      <c r="D431" s="10" t="e">
        <f>LOOKUP($B431,Aircrafts!$A$2:$A$1048576,Aircrafts!$C$2:$C$1048576)</f>
        <v>#N/A</v>
      </c>
      <c r="F431" s="10" t="e">
        <f>LOOKUP($E431,Aerodromes!$A$2:$A$1048576,Aerodromes!$B$2:$B$1048576)</f>
        <v>#N/A</v>
      </c>
      <c r="H431" s="10" t="e">
        <f>LOOKUP($G431,Aerodromes!$A$2:$A$1048576,Aerodromes!$B$2:$B$1048576)</f>
        <v>#N/A</v>
      </c>
      <c r="K431" s="13">
        <f t="shared" si="6"/>
        <v>0</v>
      </c>
      <c r="V431" s="34">
        <f>SUBTOTAL(9,$K$3:$K431)</f>
        <v>0</v>
      </c>
      <c r="W431" s="35">
        <f>SUBTOTAL(9,$R$3:$R431)</f>
        <v>0</v>
      </c>
      <c r="X431" s="36">
        <f>SUBTOTAL(9,$S$3:$S431)</f>
        <v>0</v>
      </c>
      <c r="Y431" s="23">
        <f>SUBTOTAL(9,$L$3:$L431)</f>
        <v>0</v>
      </c>
      <c r="Z431" s="10">
        <f>SUBTOTAL(9,$M$3:$M431)</f>
        <v>0</v>
      </c>
    </row>
    <row r="432" spans="3:26" x14ac:dyDescent="0.25">
      <c r="C432" s="9" t="e">
        <f>LOOKUP($B432,Aircrafts!$A$2:$A$1048576,Aircrafts!$B$2:$B$1048576)</f>
        <v>#N/A</v>
      </c>
      <c r="D432" s="10" t="e">
        <f>LOOKUP($B432,Aircrafts!$A$2:$A$1048576,Aircrafts!$C$2:$C$1048576)</f>
        <v>#N/A</v>
      </c>
      <c r="F432" s="10" t="e">
        <f>LOOKUP($E432,Aerodromes!$A$2:$A$1048576,Aerodromes!$B$2:$B$1048576)</f>
        <v>#N/A</v>
      </c>
      <c r="H432" s="10" t="e">
        <f>LOOKUP($G432,Aerodromes!$A$2:$A$1048576,Aerodromes!$B$2:$B$1048576)</f>
        <v>#N/A</v>
      </c>
      <c r="K432" s="13">
        <f t="shared" si="6"/>
        <v>0</v>
      </c>
      <c r="V432" s="34">
        <f>SUBTOTAL(9,$K$3:$K432)</f>
        <v>0</v>
      </c>
      <c r="W432" s="35">
        <f>SUBTOTAL(9,$R$3:$R432)</f>
        <v>0</v>
      </c>
      <c r="X432" s="36">
        <f>SUBTOTAL(9,$S$3:$S432)</f>
        <v>0</v>
      </c>
      <c r="Y432" s="23">
        <f>SUBTOTAL(9,$L$3:$L432)</f>
        <v>0</v>
      </c>
      <c r="Z432" s="10">
        <f>SUBTOTAL(9,$M$3:$M432)</f>
        <v>0</v>
      </c>
    </row>
    <row r="433" spans="3:26" x14ac:dyDescent="0.25">
      <c r="C433" s="9" t="e">
        <f>LOOKUP($B433,Aircrafts!$A$2:$A$1048576,Aircrafts!$B$2:$B$1048576)</f>
        <v>#N/A</v>
      </c>
      <c r="D433" s="10" t="e">
        <f>LOOKUP($B433,Aircrafts!$A$2:$A$1048576,Aircrafts!$C$2:$C$1048576)</f>
        <v>#N/A</v>
      </c>
      <c r="F433" s="10" t="e">
        <f>LOOKUP($E433,Aerodromes!$A$2:$A$1048576,Aerodromes!$B$2:$B$1048576)</f>
        <v>#N/A</v>
      </c>
      <c r="H433" s="10" t="e">
        <f>LOOKUP($G433,Aerodromes!$A$2:$A$1048576,Aerodromes!$B$2:$B$1048576)</f>
        <v>#N/A</v>
      </c>
      <c r="K433" s="13">
        <f t="shared" si="6"/>
        <v>0</v>
      </c>
      <c r="V433" s="34">
        <f>SUBTOTAL(9,$K$3:$K433)</f>
        <v>0</v>
      </c>
      <c r="W433" s="35">
        <f>SUBTOTAL(9,$R$3:$R433)</f>
        <v>0</v>
      </c>
      <c r="X433" s="36">
        <f>SUBTOTAL(9,$S$3:$S433)</f>
        <v>0</v>
      </c>
      <c r="Y433" s="23">
        <f>SUBTOTAL(9,$L$3:$L433)</f>
        <v>0</v>
      </c>
      <c r="Z433" s="10">
        <f>SUBTOTAL(9,$M$3:$M433)</f>
        <v>0</v>
      </c>
    </row>
    <row r="434" spans="3:26" x14ac:dyDescent="0.25">
      <c r="C434" s="9" t="e">
        <f>LOOKUP($B434,Aircrafts!$A$2:$A$1048576,Aircrafts!$B$2:$B$1048576)</f>
        <v>#N/A</v>
      </c>
      <c r="D434" s="10" t="e">
        <f>LOOKUP($B434,Aircrafts!$A$2:$A$1048576,Aircrafts!$C$2:$C$1048576)</f>
        <v>#N/A</v>
      </c>
      <c r="F434" s="10" t="e">
        <f>LOOKUP($E434,Aerodromes!$A$2:$A$1048576,Aerodromes!$B$2:$B$1048576)</f>
        <v>#N/A</v>
      </c>
      <c r="H434" s="10" t="e">
        <f>LOOKUP($G434,Aerodromes!$A$2:$A$1048576,Aerodromes!$B$2:$B$1048576)</f>
        <v>#N/A</v>
      </c>
      <c r="K434" s="13">
        <f t="shared" si="6"/>
        <v>0</v>
      </c>
      <c r="V434" s="34">
        <f>SUBTOTAL(9,$K$3:$K434)</f>
        <v>0</v>
      </c>
      <c r="W434" s="35">
        <f>SUBTOTAL(9,$R$3:$R434)</f>
        <v>0</v>
      </c>
      <c r="X434" s="36">
        <f>SUBTOTAL(9,$S$3:$S434)</f>
        <v>0</v>
      </c>
      <c r="Y434" s="23">
        <f>SUBTOTAL(9,$L$3:$L434)</f>
        <v>0</v>
      </c>
      <c r="Z434" s="10">
        <f>SUBTOTAL(9,$M$3:$M434)</f>
        <v>0</v>
      </c>
    </row>
    <row r="435" spans="3:26" x14ac:dyDescent="0.25">
      <c r="C435" s="9" t="e">
        <f>LOOKUP($B435,Aircrafts!$A$2:$A$1048576,Aircrafts!$B$2:$B$1048576)</f>
        <v>#N/A</v>
      </c>
      <c r="D435" s="10" t="e">
        <f>LOOKUP($B435,Aircrafts!$A$2:$A$1048576,Aircrafts!$C$2:$C$1048576)</f>
        <v>#N/A</v>
      </c>
      <c r="F435" s="10" t="e">
        <f>LOOKUP($E435,Aerodromes!$A$2:$A$1048576,Aerodromes!$B$2:$B$1048576)</f>
        <v>#N/A</v>
      </c>
      <c r="H435" s="10" t="e">
        <f>LOOKUP($G435,Aerodromes!$A$2:$A$1048576,Aerodromes!$B$2:$B$1048576)</f>
        <v>#N/A</v>
      </c>
      <c r="K435" s="13">
        <f t="shared" si="6"/>
        <v>0</v>
      </c>
      <c r="V435" s="34">
        <f>SUBTOTAL(9,$K$3:$K435)</f>
        <v>0</v>
      </c>
      <c r="W435" s="35">
        <f>SUBTOTAL(9,$R$3:$R435)</f>
        <v>0</v>
      </c>
      <c r="X435" s="36">
        <f>SUBTOTAL(9,$S$3:$S435)</f>
        <v>0</v>
      </c>
      <c r="Y435" s="23">
        <f>SUBTOTAL(9,$L$3:$L435)</f>
        <v>0</v>
      </c>
      <c r="Z435" s="10">
        <f>SUBTOTAL(9,$M$3:$M435)</f>
        <v>0</v>
      </c>
    </row>
    <row r="436" spans="3:26" x14ac:dyDescent="0.25">
      <c r="C436" s="9" t="e">
        <f>LOOKUP($B436,Aircrafts!$A$2:$A$1048576,Aircrafts!$B$2:$B$1048576)</f>
        <v>#N/A</v>
      </c>
      <c r="D436" s="10" t="e">
        <f>LOOKUP($B436,Aircrafts!$A$2:$A$1048576,Aircrafts!$C$2:$C$1048576)</f>
        <v>#N/A</v>
      </c>
      <c r="F436" s="10" t="e">
        <f>LOOKUP($E436,Aerodromes!$A$2:$A$1048576,Aerodromes!$B$2:$B$1048576)</f>
        <v>#N/A</v>
      </c>
      <c r="H436" s="10" t="e">
        <f>LOOKUP($G436,Aerodromes!$A$2:$A$1048576,Aerodromes!$B$2:$B$1048576)</f>
        <v>#N/A</v>
      </c>
      <c r="K436" s="13">
        <f t="shared" si="6"/>
        <v>0</v>
      </c>
      <c r="V436" s="34">
        <f>SUBTOTAL(9,$K$3:$K436)</f>
        <v>0</v>
      </c>
      <c r="W436" s="35">
        <f>SUBTOTAL(9,$R$3:$R436)</f>
        <v>0</v>
      </c>
      <c r="X436" s="36">
        <f>SUBTOTAL(9,$S$3:$S436)</f>
        <v>0</v>
      </c>
      <c r="Y436" s="23">
        <f>SUBTOTAL(9,$L$3:$L436)</f>
        <v>0</v>
      </c>
      <c r="Z436" s="10">
        <f>SUBTOTAL(9,$M$3:$M436)</f>
        <v>0</v>
      </c>
    </row>
    <row r="437" spans="3:26" x14ac:dyDescent="0.25">
      <c r="C437" s="9" t="e">
        <f>LOOKUP($B437,Aircrafts!$A$2:$A$1048576,Aircrafts!$B$2:$B$1048576)</f>
        <v>#N/A</v>
      </c>
      <c r="D437" s="10" t="e">
        <f>LOOKUP($B437,Aircrafts!$A$2:$A$1048576,Aircrafts!$C$2:$C$1048576)</f>
        <v>#N/A</v>
      </c>
      <c r="F437" s="10" t="e">
        <f>LOOKUP($E437,Aerodromes!$A$2:$A$1048576,Aerodromes!$B$2:$B$1048576)</f>
        <v>#N/A</v>
      </c>
      <c r="H437" s="10" t="e">
        <f>LOOKUP($G437,Aerodromes!$A$2:$A$1048576,Aerodromes!$B$2:$B$1048576)</f>
        <v>#N/A</v>
      </c>
      <c r="K437" s="13">
        <f t="shared" si="6"/>
        <v>0</v>
      </c>
      <c r="V437" s="34">
        <f>SUBTOTAL(9,$K$3:$K437)</f>
        <v>0</v>
      </c>
      <c r="W437" s="35">
        <f>SUBTOTAL(9,$R$3:$R437)</f>
        <v>0</v>
      </c>
      <c r="X437" s="36">
        <f>SUBTOTAL(9,$S$3:$S437)</f>
        <v>0</v>
      </c>
      <c r="Y437" s="23">
        <f>SUBTOTAL(9,$L$3:$L437)</f>
        <v>0</v>
      </c>
      <c r="Z437" s="10">
        <f>SUBTOTAL(9,$M$3:$M437)</f>
        <v>0</v>
      </c>
    </row>
    <row r="438" spans="3:26" x14ac:dyDescent="0.25">
      <c r="C438" s="9" t="e">
        <f>LOOKUP($B438,Aircrafts!$A$2:$A$1048576,Aircrafts!$B$2:$B$1048576)</f>
        <v>#N/A</v>
      </c>
      <c r="D438" s="10" t="e">
        <f>LOOKUP($B438,Aircrafts!$A$2:$A$1048576,Aircrafts!$C$2:$C$1048576)</f>
        <v>#N/A</v>
      </c>
      <c r="F438" s="10" t="e">
        <f>LOOKUP($E438,Aerodromes!$A$2:$A$1048576,Aerodromes!$B$2:$B$1048576)</f>
        <v>#N/A</v>
      </c>
      <c r="H438" s="10" t="e">
        <f>LOOKUP($G438,Aerodromes!$A$2:$A$1048576,Aerodromes!$B$2:$B$1048576)</f>
        <v>#N/A</v>
      </c>
      <c r="K438" s="13">
        <f t="shared" si="6"/>
        <v>0</v>
      </c>
      <c r="V438" s="34">
        <f>SUBTOTAL(9,$K$3:$K438)</f>
        <v>0</v>
      </c>
      <c r="W438" s="35">
        <f>SUBTOTAL(9,$R$3:$R438)</f>
        <v>0</v>
      </c>
      <c r="X438" s="36">
        <f>SUBTOTAL(9,$S$3:$S438)</f>
        <v>0</v>
      </c>
      <c r="Y438" s="23">
        <f>SUBTOTAL(9,$L$3:$L438)</f>
        <v>0</v>
      </c>
      <c r="Z438" s="10">
        <f>SUBTOTAL(9,$M$3:$M438)</f>
        <v>0</v>
      </c>
    </row>
    <row r="439" spans="3:26" x14ac:dyDescent="0.25">
      <c r="C439" s="9" t="e">
        <f>LOOKUP($B439,Aircrafts!$A$2:$A$1048576,Aircrafts!$B$2:$B$1048576)</f>
        <v>#N/A</v>
      </c>
      <c r="D439" s="10" t="e">
        <f>LOOKUP($B439,Aircrafts!$A$2:$A$1048576,Aircrafts!$C$2:$C$1048576)</f>
        <v>#N/A</v>
      </c>
      <c r="F439" s="10" t="e">
        <f>LOOKUP($E439,Aerodromes!$A$2:$A$1048576,Aerodromes!$B$2:$B$1048576)</f>
        <v>#N/A</v>
      </c>
      <c r="H439" s="10" t="e">
        <f>LOOKUP($G439,Aerodromes!$A$2:$A$1048576,Aerodromes!$B$2:$B$1048576)</f>
        <v>#N/A</v>
      </c>
      <c r="K439" s="13">
        <f t="shared" si="6"/>
        <v>0</v>
      </c>
      <c r="V439" s="34">
        <f>SUBTOTAL(9,$K$3:$K439)</f>
        <v>0</v>
      </c>
      <c r="W439" s="35">
        <f>SUBTOTAL(9,$R$3:$R439)</f>
        <v>0</v>
      </c>
      <c r="X439" s="36">
        <f>SUBTOTAL(9,$S$3:$S439)</f>
        <v>0</v>
      </c>
      <c r="Y439" s="23">
        <f>SUBTOTAL(9,$L$3:$L439)</f>
        <v>0</v>
      </c>
      <c r="Z439" s="10">
        <f>SUBTOTAL(9,$M$3:$M439)</f>
        <v>0</v>
      </c>
    </row>
    <row r="440" spans="3:26" x14ac:dyDescent="0.25">
      <c r="C440" s="9" t="e">
        <f>LOOKUP($B440,Aircrafts!$A$2:$A$1048576,Aircrafts!$B$2:$B$1048576)</f>
        <v>#N/A</v>
      </c>
      <c r="D440" s="10" t="e">
        <f>LOOKUP($B440,Aircrafts!$A$2:$A$1048576,Aircrafts!$C$2:$C$1048576)</f>
        <v>#N/A</v>
      </c>
      <c r="F440" s="10" t="e">
        <f>LOOKUP($E440,Aerodromes!$A$2:$A$1048576,Aerodromes!$B$2:$B$1048576)</f>
        <v>#N/A</v>
      </c>
      <c r="H440" s="10" t="e">
        <f>LOOKUP($G440,Aerodromes!$A$2:$A$1048576,Aerodromes!$B$2:$B$1048576)</f>
        <v>#N/A</v>
      </c>
      <c r="K440" s="13">
        <f t="shared" si="6"/>
        <v>0</v>
      </c>
      <c r="V440" s="34">
        <f>SUBTOTAL(9,$K$3:$K440)</f>
        <v>0</v>
      </c>
      <c r="W440" s="35">
        <f>SUBTOTAL(9,$R$3:$R440)</f>
        <v>0</v>
      </c>
      <c r="X440" s="36">
        <f>SUBTOTAL(9,$S$3:$S440)</f>
        <v>0</v>
      </c>
      <c r="Y440" s="23">
        <f>SUBTOTAL(9,$L$3:$L440)</f>
        <v>0</v>
      </c>
      <c r="Z440" s="10">
        <f>SUBTOTAL(9,$M$3:$M440)</f>
        <v>0</v>
      </c>
    </row>
    <row r="441" spans="3:26" x14ac:dyDescent="0.25">
      <c r="C441" s="9" t="e">
        <f>LOOKUP($B441,Aircrafts!$A$2:$A$1048576,Aircrafts!$B$2:$B$1048576)</f>
        <v>#N/A</v>
      </c>
      <c r="D441" s="10" t="e">
        <f>LOOKUP($B441,Aircrafts!$A$2:$A$1048576,Aircrafts!$C$2:$C$1048576)</f>
        <v>#N/A</v>
      </c>
      <c r="F441" s="10" t="e">
        <f>LOOKUP($E441,Aerodromes!$A$2:$A$1048576,Aerodromes!$B$2:$B$1048576)</f>
        <v>#N/A</v>
      </c>
      <c r="H441" s="10" t="e">
        <f>LOOKUP($G441,Aerodromes!$A$2:$A$1048576,Aerodromes!$B$2:$B$1048576)</f>
        <v>#N/A</v>
      </c>
      <c r="K441" s="13">
        <f t="shared" si="6"/>
        <v>0</v>
      </c>
      <c r="V441" s="34">
        <f>SUBTOTAL(9,$K$3:$K441)</f>
        <v>0</v>
      </c>
      <c r="W441" s="35">
        <f>SUBTOTAL(9,$R$3:$R441)</f>
        <v>0</v>
      </c>
      <c r="X441" s="36">
        <f>SUBTOTAL(9,$S$3:$S441)</f>
        <v>0</v>
      </c>
      <c r="Y441" s="23">
        <f>SUBTOTAL(9,$L$3:$L441)</f>
        <v>0</v>
      </c>
      <c r="Z441" s="10">
        <f>SUBTOTAL(9,$M$3:$M441)</f>
        <v>0</v>
      </c>
    </row>
    <row r="442" spans="3:26" x14ac:dyDescent="0.25">
      <c r="C442" s="9" t="e">
        <f>LOOKUP($B442,Aircrafts!$A$2:$A$1048576,Aircrafts!$B$2:$B$1048576)</f>
        <v>#N/A</v>
      </c>
      <c r="D442" s="10" t="e">
        <f>LOOKUP($B442,Aircrafts!$A$2:$A$1048576,Aircrafts!$C$2:$C$1048576)</f>
        <v>#N/A</v>
      </c>
      <c r="F442" s="10" t="e">
        <f>LOOKUP($E442,Aerodromes!$A$2:$A$1048576,Aerodromes!$B$2:$B$1048576)</f>
        <v>#N/A</v>
      </c>
      <c r="H442" s="10" t="e">
        <f>LOOKUP($G442,Aerodromes!$A$2:$A$1048576,Aerodromes!$B$2:$B$1048576)</f>
        <v>#N/A</v>
      </c>
      <c r="K442" s="13">
        <f t="shared" si="6"/>
        <v>0</v>
      </c>
      <c r="V442" s="34">
        <f>SUBTOTAL(9,$K$3:$K442)</f>
        <v>0</v>
      </c>
      <c r="W442" s="35">
        <f>SUBTOTAL(9,$R$3:$R442)</f>
        <v>0</v>
      </c>
      <c r="X442" s="36">
        <f>SUBTOTAL(9,$S$3:$S442)</f>
        <v>0</v>
      </c>
      <c r="Y442" s="23">
        <f>SUBTOTAL(9,$L$3:$L442)</f>
        <v>0</v>
      </c>
      <c r="Z442" s="10">
        <f>SUBTOTAL(9,$M$3:$M442)</f>
        <v>0</v>
      </c>
    </row>
    <row r="443" spans="3:26" x14ac:dyDescent="0.25">
      <c r="C443" s="9" t="e">
        <f>LOOKUP($B443,Aircrafts!$A$2:$A$1048576,Aircrafts!$B$2:$B$1048576)</f>
        <v>#N/A</v>
      </c>
      <c r="D443" s="10" t="e">
        <f>LOOKUP($B443,Aircrafts!$A$2:$A$1048576,Aircrafts!$C$2:$C$1048576)</f>
        <v>#N/A</v>
      </c>
      <c r="F443" s="10" t="e">
        <f>LOOKUP($E443,Aerodromes!$A$2:$A$1048576,Aerodromes!$B$2:$B$1048576)</f>
        <v>#N/A</v>
      </c>
      <c r="H443" s="10" t="e">
        <f>LOOKUP($G443,Aerodromes!$A$2:$A$1048576,Aerodromes!$B$2:$B$1048576)</f>
        <v>#N/A</v>
      </c>
      <c r="K443" s="13">
        <f t="shared" si="6"/>
        <v>0</v>
      </c>
      <c r="V443" s="34">
        <f>SUBTOTAL(9,$K$3:$K443)</f>
        <v>0</v>
      </c>
      <c r="W443" s="35">
        <f>SUBTOTAL(9,$R$3:$R443)</f>
        <v>0</v>
      </c>
      <c r="X443" s="36">
        <f>SUBTOTAL(9,$S$3:$S443)</f>
        <v>0</v>
      </c>
      <c r="Y443" s="23">
        <f>SUBTOTAL(9,$L$3:$L443)</f>
        <v>0</v>
      </c>
      <c r="Z443" s="10">
        <f>SUBTOTAL(9,$M$3:$M443)</f>
        <v>0</v>
      </c>
    </row>
    <row r="444" spans="3:26" x14ac:dyDescent="0.25">
      <c r="C444" s="9" t="e">
        <f>LOOKUP($B444,Aircrafts!$A$2:$A$1048576,Aircrafts!$B$2:$B$1048576)</f>
        <v>#N/A</v>
      </c>
      <c r="D444" s="10" t="e">
        <f>LOOKUP($B444,Aircrafts!$A$2:$A$1048576,Aircrafts!$C$2:$C$1048576)</f>
        <v>#N/A</v>
      </c>
      <c r="F444" s="10" t="e">
        <f>LOOKUP($E444,Aerodromes!$A$2:$A$1048576,Aerodromes!$B$2:$B$1048576)</f>
        <v>#N/A</v>
      </c>
      <c r="H444" s="10" t="e">
        <f>LOOKUP($G444,Aerodromes!$A$2:$A$1048576,Aerodromes!$B$2:$B$1048576)</f>
        <v>#N/A</v>
      </c>
      <c r="K444" s="13">
        <f t="shared" si="6"/>
        <v>0</v>
      </c>
      <c r="V444" s="34">
        <f>SUBTOTAL(9,$K$3:$K444)</f>
        <v>0</v>
      </c>
      <c r="W444" s="35">
        <f>SUBTOTAL(9,$R$3:$R444)</f>
        <v>0</v>
      </c>
      <c r="X444" s="36">
        <f>SUBTOTAL(9,$S$3:$S444)</f>
        <v>0</v>
      </c>
      <c r="Y444" s="23">
        <f>SUBTOTAL(9,$L$3:$L444)</f>
        <v>0</v>
      </c>
      <c r="Z444" s="10">
        <f>SUBTOTAL(9,$M$3:$M444)</f>
        <v>0</v>
      </c>
    </row>
    <row r="445" spans="3:26" x14ac:dyDescent="0.25">
      <c r="C445" s="9" t="e">
        <f>LOOKUP($B445,Aircrafts!$A$2:$A$1048576,Aircrafts!$B$2:$B$1048576)</f>
        <v>#N/A</v>
      </c>
      <c r="D445" s="10" t="e">
        <f>LOOKUP($B445,Aircrafts!$A$2:$A$1048576,Aircrafts!$C$2:$C$1048576)</f>
        <v>#N/A</v>
      </c>
      <c r="F445" s="10" t="e">
        <f>LOOKUP($E445,Aerodromes!$A$2:$A$1048576,Aerodromes!$B$2:$B$1048576)</f>
        <v>#N/A</v>
      </c>
      <c r="H445" s="10" t="e">
        <f>LOOKUP($G445,Aerodromes!$A$2:$A$1048576,Aerodromes!$B$2:$B$1048576)</f>
        <v>#N/A</v>
      </c>
      <c r="K445" s="13">
        <f t="shared" si="6"/>
        <v>0</v>
      </c>
      <c r="V445" s="34">
        <f>SUBTOTAL(9,$K$3:$K445)</f>
        <v>0</v>
      </c>
      <c r="W445" s="35">
        <f>SUBTOTAL(9,$R$3:$R445)</f>
        <v>0</v>
      </c>
      <c r="X445" s="36">
        <f>SUBTOTAL(9,$S$3:$S445)</f>
        <v>0</v>
      </c>
      <c r="Y445" s="23">
        <f>SUBTOTAL(9,$L$3:$L445)</f>
        <v>0</v>
      </c>
      <c r="Z445" s="10">
        <f>SUBTOTAL(9,$M$3:$M445)</f>
        <v>0</v>
      </c>
    </row>
    <row r="446" spans="3:26" x14ac:dyDescent="0.25">
      <c r="C446" s="9" t="e">
        <f>LOOKUP($B446,Aircrafts!$A$2:$A$1048576,Aircrafts!$B$2:$B$1048576)</f>
        <v>#N/A</v>
      </c>
      <c r="D446" s="10" t="e">
        <f>LOOKUP($B446,Aircrafts!$A$2:$A$1048576,Aircrafts!$C$2:$C$1048576)</f>
        <v>#N/A</v>
      </c>
      <c r="F446" s="10" t="e">
        <f>LOOKUP($E446,Aerodromes!$A$2:$A$1048576,Aerodromes!$B$2:$B$1048576)</f>
        <v>#N/A</v>
      </c>
      <c r="H446" s="10" t="e">
        <f>LOOKUP($G446,Aerodromes!$A$2:$A$1048576,Aerodromes!$B$2:$B$1048576)</f>
        <v>#N/A</v>
      </c>
      <c r="K446" s="13">
        <f t="shared" si="6"/>
        <v>0</v>
      </c>
      <c r="V446" s="34">
        <f>SUBTOTAL(9,$K$3:$K446)</f>
        <v>0</v>
      </c>
      <c r="W446" s="35">
        <f>SUBTOTAL(9,$R$3:$R446)</f>
        <v>0</v>
      </c>
      <c r="X446" s="36">
        <f>SUBTOTAL(9,$S$3:$S446)</f>
        <v>0</v>
      </c>
      <c r="Y446" s="23">
        <f>SUBTOTAL(9,$L$3:$L446)</f>
        <v>0</v>
      </c>
      <c r="Z446" s="10">
        <f>SUBTOTAL(9,$M$3:$M446)</f>
        <v>0</v>
      </c>
    </row>
    <row r="447" spans="3:26" x14ac:dyDescent="0.25">
      <c r="C447" s="9" t="e">
        <f>LOOKUP($B447,Aircrafts!$A$2:$A$1048576,Aircrafts!$B$2:$B$1048576)</f>
        <v>#N/A</v>
      </c>
      <c r="D447" s="10" t="e">
        <f>LOOKUP($B447,Aircrafts!$A$2:$A$1048576,Aircrafts!$C$2:$C$1048576)</f>
        <v>#N/A</v>
      </c>
      <c r="F447" s="10" t="e">
        <f>LOOKUP($E447,Aerodromes!$A$2:$A$1048576,Aerodromes!$B$2:$B$1048576)</f>
        <v>#N/A</v>
      </c>
      <c r="H447" s="10" t="e">
        <f>LOOKUP($G447,Aerodromes!$A$2:$A$1048576,Aerodromes!$B$2:$B$1048576)</f>
        <v>#N/A</v>
      </c>
      <c r="K447" s="13">
        <f t="shared" si="6"/>
        <v>0</v>
      </c>
      <c r="V447" s="34">
        <f>SUBTOTAL(9,$K$3:$K447)</f>
        <v>0</v>
      </c>
      <c r="W447" s="35">
        <f>SUBTOTAL(9,$R$3:$R447)</f>
        <v>0</v>
      </c>
      <c r="X447" s="36">
        <f>SUBTOTAL(9,$S$3:$S447)</f>
        <v>0</v>
      </c>
      <c r="Y447" s="23">
        <f>SUBTOTAL(9,$L$3:$L447)</f>
        <v>0</v>
      </c>
      <c r="Z447" s="10">
        <f>SUBTOTAL(9,$M$3:$M447)</f>
        <v>0</v>
      </c>
    </row>
    <row r="448" spans="3:26" x14ac:dyDescent="0.25">
      <c r="C448" s="9" t="e">
        <f>LOOKUP($B448,Aircrafts!$A$2:$A$1048576,Aircrafts!$B$2:$B$1048576)</f>
        <v>#N/A</v>
      </c>
      <c r="D448" s="10" t="e">
        <f>LOOKUP($B448,Aircrafts!$A$2:$A$1048576,Aircrafts!$C$2:$C$1048576)</f>
        <v>#N/A</v>
      </c>
      <c r="F448" s="10" t="e">
        <f>LOOKUP($E448,Aerodromes!$A$2:$A$1048576,Aerodromes!$B$2:$B$1048576)</f>
        <v>#N/A</v>
      </c>
      <c r="H448" s="10" t="e">
        <f>LOOKUP($G448,Aerodromes!$A$2:$A$1048576,Aerodromes!$B$2:$B$1048576)</f>
        <v>#N/A</v>
      </c>
      <c r="K448" s="13">
        <f t="shared" si="6"/>
        <v>0</v>
      </c>
      <c r="V448" s="34">
        <f>SUBTOTAL(9,$K$3:$K448)</f>
        <v>0</v>
      </c>
      <c r="W448" s="35">
        <f>SUBTOTAL(9,$R$3:$R448)</f>
        <v>0</v>
      </c>
      <c r="X448" s="36">
        <f>SUBTOTAL(9,$S$3:$S448)</f>
        <v>0</v>
      </c>
      <c r="Y448" s="23">
        <f>SUBTOTAL(9,$L$3:$L448)</f>
        <v>0</v>
      </c>
      <c r="Z448" s="10">
        <f>SUBTOTAL(9,$M$3:$M448)</f>
        <v>0</v>
      </c>
    </row>
    <row r="449" spans="3:26" x14ac:dyDescent="0.25">
      <c r="C449" s="9" t="e">
        <f>LOOKUP($B449,Aircrafts!$A$2:$A$1048576,Aircrafts!$B$2:$B$1048576)</f>
        <v>#N/A</v>
      </c>
      <c r="D449" s="10" t="e">
        <f>LOOKUP($B449,Aircrafts!$A$2:$A$1048576,Aircrafts!$C$2:$C$1048576)</f>
        <v>#N/A</v>
      </c>
      <c r="F449" s="10" t="e">
        <f>LOOKUP($E449,Aerodromes!$A$2:$A$1048576,Aerodromes!$B$2:$B$1048576)</f>
        <v>#N/A</v>
      </c>
      <c r="H449" s="10" t="e">
        <f>LOOKUP($G449,Aerodromes!$A$2:$A$1048576,Aerodromes!$B$2:$B$1048576)</f>
        <v>#N/A</v>
      </c>
      <c r="K449" s="13">
        <f t="shared" si="6"/>
        <v>0</v>
      </c>
      <c r="V449" s="34">
        <f>SUBTOTAL(9,$K$3:$K449)</f>
        <v>0</v>
      </c>
      <c r="W449" s="35">
        <f>SUBTOTAL(9,$R$3:$R449)</f>
        <v>0</v>
      </c>
      <c r="X449" s="36">
        <f>SUBTOTAL(9,$S$3:$S449)</f>
        <v>0</v>
      </c>
      <c r="Y449" s="23">
        <f>SUBTOTAL(9,$L$3:$L449)</f>
        <v>0</v>
      </c>
      <c r="Z449" s="10">
        <f>SUBTOTAL(9,$M$3:$M449)</f>
        <v>0</v>
      </c>
    </row>
    <row r="450" spans="3:26" x14ac:dyDescent="0.25">
      <c r="C450" s="9" t="e">
        <f>LOOKUP($B450,Aircrafts!$A$2:$A$1048576,Aircrafts!$B$2:$B$1048576)</f>
        <v>#N/A</v>
      </c>
      <c r="D450" s="10" t="e">
        <f>LOOKUP($B450,Aircrafts!$A$2:$A$1048576,Aircrafts!$C$2:$C$1048576)</f>
        <v>#N/A</v>
      </c>
      <c r="F450" s="10" t="e">
        <f>LOOKUP($E450,Aerodromes!$A$2:$A$1048576,Aerodromes!$B$2:$B$1048576)</f>
        <v>#N/A</v>
      </c>
      <c r="H450" s="10" t="e">
        <f>LOOKUP($G450,Aerodromes!$A$2:$A$1048576,Aerodromes!$B$2:$B$1048576)</f>
        <v>#N/A</v>
      </c>
      <c r="K450" s="13">
        <f t="shared" si="6"/>
        <v>0</v>
      </c>
      <c r="V450" s="34">
        <f>SUBTOTAL(9,$K$3:$K450)</f>
        <v>0</v>
      </c>
      <c r="W450" s="35">
        <f>SUBTOTAL(9,$R$3:$R450)</f>
        <v>0</v>
      </c>
      <c r="X450" s="36">
        <f>SUBTOTAL(9,$S$3:$S450)</f>
        <v>0</v>
      </c>
      <c r="Y450" s="23">
        <f>SUBTOTAL(9,$L$3:$L450)</f>
        <v>0</v>
      </c>
      <c r="Z450" s="10">
        <f>SUBTOTAL(9,$M$3:$M450)</f>
        <v>0</v>
      </c>
    </row>
    <row r="451" spans="3:26" x14ac:dyDescent="0.25">
      <c r="C451" s="9" t="e">
        <f>LOOKUP($B451,Aircrafts!$A$2:$A$1048576,Aircrafts!$B$2:$B$1048576)</f>
        <v>#N/A</v>
      </c>
      <c r="D451" s="10" t="e">
        <f>LOOKUP($B451,Aircrafts!$A$2:$A$1048576,Aircrafts!$C$2:$C$1048576)</f>
        <v>#N/A</v>
      </c>
      <c r="F451" s="10" t="e">
        <f>LOOKUP($E451,Aerodromes!$A$2:$A$1048576,Aerodromes!$B$2:$B$1048576)</f>
        <v>#N/A</v>
      </c>
      <c r="H451" s="10" t="e">
        <f>LOOKUP($G451,Aerodromes!$A$2:$A$1048576,Aerodromes!$B$2:$B$1048576)</f>
        <v>#N/A</v>
      </c>
      <c r="K451" s="13">
        <f t="shared" ref="K451:K502" si="7">IF($J451&gt;=$I451,$J451-$I451,1+$J451-$I451)</f>
        <v>0</v>
      </c>
      <c r="V451" s="34">
        <f>SUBTOTAL(9,$K$3:$K451)</f>
        <v>0</v>
      </c>
      <c r="W451" s="35">
        <f>SUBTOTAL(9,$R$3:$R451)</f>
        <v>0</v>
      </c>
      <c r="X451" s="36">
        <f>SUBTOTAL(9,$S$3:$S451)</f>
        <v>0</v>
      </c>
      <c r="Y451" s="23">
        <f>SUBTOTAL(9,$L$3:$L451)</f>
        <v>0</v>
      </c>
      <c r="Z451" s="10">
        <f>SUBTOTAL(9,$M$3:$M451)</f>
        <v>0</v>
      </c>
    </row>
    <row r="452" spans="3:26" x14ac:dyDescent="0.25">
      <c r="C452" s="9" t="e">
        <f>LOOKUP($B452,Aircrafts!$A$2:$A$1048576,Aircrafts!$B$2:$B$1048576)</f>
        <v>#N/A</v>
      </c>
      <c r="D452" s="10" t="e">
        <f>LOOKUP($B452,Aircrafts!$A$2:$A$1048576,Aircrafts!$C$2:$C$1048576)</f>
        <v>#N/A</v>
      </c>
      <c r="F452" s="10" t="e">
        <f>LOOKUP($E452,Aerodromes!$A$2:$A$1048576,Aerodromes!$B$2:$B$1048576)</f>
        <v>#N/A</v>
      </c>
      <c r="H452" s="10" t="e">
        <f>LOOKUP($G452,Aerodromes!$A$2:$A$1048576,Aerodromes!$B$2:$B$1048576)</f>
        <v>#N/A</v>
      </c>
      <c r="K452" s="13">
        <f t="shared" si="7"/>
        <v>0</v>
      </c>
      <c r="V452" s="34">
        <f>SUBTOTAL(9,$K$3:$K452)</f>
        <v>0</v>
      </c>
      <c r="W452" s="35">
        <f>SUBTOTAL(9,$R$3:$R452)</f>
        <v>0</v>
      </c>
      <c r="X452" s="36">
        <f>SUBTOTAL(9,$S$3:$S452)</f>
        <v>0</v>
      </c>
      <c r="Y452" s="23">
        <f>SUBTOTAL(9,$L$3:$L452)</f>
        <v>0</v>
      </c>
      <c r="Z452" s="10">
        <f>SUBTOTAL(9,$M$3:$M452)</f>
        <v>0</v>
      </c>
    </row>
    <row r="453" spans="3:26" x14ac:dyDescent="0.25">
      <c r="C453" s="9" t="e">
        <f>LOOKUP($B453,Aircrafts!$A$2:$A$1048576,Aircrafts!$B$2:$B$1048576)</f>
        <v>#N/A</v>
      </c>
      <c r="D453" s="10" t="e">
        <f>LOOKUP($B453,Aircrafts!$A$2:$A$1048576,Aircrafts!$C$2:$C$1048576)</f>
        <v>#N/A</v>
      </c>
      <c r="F453" s="10" t="e">
        <f>LOOKUP($E453,Aerodromes!$A$2:$A$1048576,Aerodromes!$B$2:$B$1048576)</f>
        <v>#N/A</v>
      </c>
      <c r="H453" s="10" t="e">
        <f>LOOKUP($G453,Aerodromes!$A$2:$A$1048576,Aerodromes!$B$2:$B$1048576)</f>
        <v>#N/A</v>
      </c>
      <c r="K453" s="13">
        <f t="shared" si="7"/>
        <v>0</v>
      </c>
      <c r="V453" s="34">
        <f>SUBTOTAL(9,$K$3:$K453)</f>
        <v>0</v>
      </c>
      <c r="W453" s="35">
        <f>SUBTOTAL(9,$R$3:$R453)</f>
        <v>0</v>
      </c>
      <c r="X453" s="36">
        <f>SUBTOTAL(9,$S$3:$S453)</f>
        <v>0</v>
      </c>
      <c r="Y453" s="23">
        <f>SUBTOTAL(9,$L$3:$L453)</f>
        <v>0</v>
      </c>
      <c r="Z453" s="10">
        <f>SUBTOTAL(9,$M$3:$M453)</f>
        <v>0</v>
      </c>
    </row>
    <row r="454" spans="3:26" x14ac:dyDescent="0.25">
      <c r="C454" s="9" t="e">
        <f>LOOKUP($B454,Aircrafts!$A$2:$A$1048576,Aircrafts!$B$2:$B$1048576)</f>
        <v>#N/A</v>
      </c>
      <c r="D454" s="10" t="e">
        <f>LOOKUP($B454,Aircrafts!$A$2:$A$1048576,Aircrafts!$C$2:$C$1048576)</f>
        <v>#N/A</v>
      </c>
      <c r="F454" s="10" t="e">
        <f>LOOKUP($E454,Aerodromes!$A$2:$A$1048576,Aerodromes!$B$2:$B$1048576)</f>
        <v>#N/A</v>
      </c>
      <c r="H454" s="10" t="e">
        <f>LOOKUP($G454,Aerodromes!$A$2:$A$1048576,Aerodromes!$B$2:$B$1048576)</f>
        <v>#N/A</v>
      </c>
      <c r="K454" s="13">
        <f t="shared" si="7"/>
        <v>0</v>
      </c>
      <c r="V454" s="34">
        <f>SUBTOTAL(9,$K$3:$K454)</f>
        <v>0</v>
      </c>
      <c r="W454" s="35">
        <f>SUBTOTAL(9,$R$3:$R454)</f>
        <v>0</v>
      </c>
      <c r="X454" s="36">
        <f>SUBTOTAL(9,$S$3:$S454)</f>
        <v>0</v>
      </c>
      <c r="Y454" s="23">
        <f>SUBTOTAL(9,$L$3:$L454)</f>
        <v>0</v>
      </c>
      <c r="Z454" s="10">
        <f>SUBTOTAL(9,$M$3:$M454)</f>
        <v>0</v>
      </c>
    </row>
    <row r="455" spans="3:26" x14ac:dyDescent="0.25">
      <c r="C455" s="9" t="e">
        <f>LOOKUP($B455,Aircrafts!$A$2:$A$1048576,Aircrafts!$B$2:$B$1048576)</f>
        <v>#N/A</v>
      </c>
      <c r="D455" s="10" t="e">
        <f>LOOKUP($B455,Aircrafts!$A$2:$A$1048576,Aircrafts!$C$2:$C$1048576)</f>
        <v>#N/A</v>
      </c>
      <c r="F455" s="10" t="e">
        <f>LOOKUP($E455,Aerodromes!$A$2:$A$1048576,Aerodromes!$B$2:$B$1048576)</f>
        <v>#N/A</v>
      </c>
      <c r="H455" s="10" t="e">
        <f>LOOKUP($G455,Aerodromes!$A$2:$A$1048576,Aerodromes!$B$2:$B$1048576)</f>
        <v>#N/A</v>
      </c>
      <c r="K455" s="13">
        <f t="shared" si="7"/>
        <v>0</v>
      </c>
      <c r="V455" s="34">
        <f>SUBTOTAL(9,$K$3:$K455)</f>
        <v>0</v>
      </c>
      <c r="W455" s="35">
        <f>SUBTOTAL(9,$R$3:$R455)</f>
        <v>0</v>
      </c>
      <c r="X455" s="36">
        <f>SUBTOTAL(9,$S$3:$S455)</f>
        <v>0</v>
      </c>
      <c r="Y455" s="23">
        <f>SUBTOTAL(9,$L$3:$L455)</f>
        <v>0</v>
      </c>
      <c r="Z455" s="10">
        <f>SUBTOTAL(9,$M$3:$M455)</f>
        <v>0</v>
      </c>
    </row>
    <row r="456" spans="3:26" x14ac:dyDescent="0.25">
      <c r="C456" s="9" t="e">
        <f>LOOKUP($B456,Aircrafts!$A$2:$A$1048576,Aircrafts!$B$2:$B$1048576)</f>
        <v>#N/A</v>
      </c>
      <c r="D456" s="10" t="e">
        <f>LOOKUP($B456,Aircrafts!$A$2:$A$1048576,Aircrafts!$C$2:$C$1048576)</f>
        <v>#N/A</v>
      </c>
      <c r="F456" s="10" t="e">
        <f>LOOKUP($E456,Aerodromes!$A$2:$A$1048576,Aerodromes!$B$2:$B$1048576)</f>
        <v>#N/A</v>
      </c>
      <c r="H456" s="10" t="e">
        <f>LOOKUP($G456,Aerodromes!$A$2:$A$1048576,Aerodromes!$B$2:$B$1048576)</f>
        <v>#N/A</v>
      </c>
      <c r="K456" s="13">
        <f t="shared" si="7"/>
        <v>0</v>
      </c>
      <c r="V456" s="34">
        <f>SUBTOTAL(9,$K$3:$K456)</f>
        <v>0</v>
      </c>
      <c r="W456" s="35">
        <f>SUBTOTAL(9,$R$3:$R456)</f>
        <v>0</v>
      </c>
      <c r="X456" s="36">
        <f>SUBTOTAL(9,$S$3:$S456)</f>
        <v>0</v>
      </c>
      <c r="Y456" s="23">
        <f>SUBTOTAL(9,$L$3:$L456)</f>
        <v>0</v>
      </c>
      <c r="Z456" s="10">
        <f>SUBTOTAL(9,$M$3:$M456)</f>
        <v>0</v>
      </c>
    </row>
    <row r="457" spans="3:26" x14ac:dyDescent="0.25">
      <c r="C457" s="9" t="e">
        <f>LOOKUP($B457,Aircrafts!$A$2:$A$1048576,Aircrafts!$B$2:$B$1048576)</f>
        <v>#N/A</v>
      </c>
      <c r="D457" s="10" t="e">
        <f>LOOKUP($B457,Aircrafts!$A$2:$A$1048576,Aircrafts!$C$2:$C$1048576)</f>
        <v>#N/A</v>
      </c>
      <c r="F457" s="10" t="e">
        <f>LOOKUP($E457,Aerodromes!$A$2:$A$1048576,Aerodromes!$B$2:$B$1048576)</f>
        <v>#N/A</v>
      </c>
      <c r="H457" s="10" t="e">
        <f>LOOKUP($G457,Aerodromes!$A$2:$A$1048576,Aerodromes!$B$2:$B$1048576)</f>
        <v>#N/A</v>
      </c>
      <c r="K457" s="13">
        <f t="shared" si="7"/>
        <v>0</v>
      </c>
      <c r="V457" s="34">
        <f>SUBTOTAL(9,$K$3:$K457)</f>
        <v>0</v>
      </c>
      <c r="W457" s="35">
        <f>SUBTOTAL(9,$R$3:$R457)</f>
        <v>0</v>
      </c>
      <c r="X457" s="36">
        <f>SUBTOTAL(9,$S$3:$S457)</f>
        <v>0</v>
      </c>
      <c r="Y457" s="23">
        <f>SUBTOTAL(9,$L$3:$L457)</f>
        <v>0</v>
      </c>
      <c r="Z457" s="10">
        <f>SUBTOTAL(9,$M$3:$M457)</f>
        <v>0</v>
      </c>
    </row>
    <row r="458" spans="3:26" x14ac:dyDescent="0.25">
      <c r="C458" s="9" t="e">
        <f>LOOKUP($B458,Aircrafts!$A$2:$A$1048576,Aircrafts!$B$2:$B$1048576)</f>
        <v>#N/A</v>
      </c>
      <c r="D458" s="10" t="e">
        <f>LOOKUP($B458,Aircrafts!$A$2:$A$1048576,Aircrafts!$C$2:$C$1048576)</f>
        <v>#N/A</v>
      </c>
      <c r="F458" s="10" t="e">
        <f>LOOKUP($E458,Aerodromes!$A$2:$A$1048576,Aerodromes!$B$2:$B$1048576)</f>
        <v>#N/A</v>
      </c>
      <c r="H458" s="10" t="e">
        <f>LOOKUP($G458,Aerodromes!$A$2:$A$1048576,Aerodromes!$B$2:$B$1048576)</f>
        <v>#N/A</v>
      </c>
      <c r="K458" s="13">
        <f t="shared" si="7"/>
        <v>0</v>
      </c>
      <c r="V458" s="34">
        <f>SUBTOTAL(9,$K$3:$K458)</f>
        <v>0</v>
      </c>
      <c r="W458" s="35">
        <f>SUBTOTAL(9,$R$3:$R458)</f>
        <v>0</v>
      </c>
      <c r="X458" s="36">
        <f>SUBTOTAL(9,$S$3:$S458)</f>
        <v>0</v>
      </c>
      <c r="Y458" s="23">
        <f>SUBTOTAL(9,$L$3:$L458)</f>
        <v>0</v>
      </c>
      <c r="Z458" s="10">
        <f>SUBTOTAL(9,$M$3:$M458)</f>
        <v>0</v>
      </c>
    </row>
    <row r="459" spans="3:26" x14ac:dyDescent="0.25">
      <c r="C459" s="9" t="e">
        <f>LOOKUP($B459,Aircrafts!$A$2:$A$1048576,Aircrafts!$B$2:$B$1048576)</f>
        <v>#N/A</v>
      </c>
      <c r="D459" s="10" t="e">
        <f>LOOKUP($B459,Aircrafts!$A$2:$A$1048576,Aircrafts!$C$2:$C$1048576)</f>
        <v>#N/A</v>
      </c>
      <c r="F459" s="10" t="e">
        <f>LOOKUP($E459,Aerodromes!$A$2:$A$1048576,Aerodromes!$B$2:$B$1048576)</f>
        <v>#N/A</v>
      </c>
      <c r="H459" s="10" t="e">
        <f>LOOKUP($G459,Aerodromes!$A$2:$A$1048576,Aerodromes!$B$2:$B$1048576)</f>
        <v>#N/A</v>
      </c>
      <c r="K459" s="13">
        <f t="shared" si="7"/>
        <v>0</v>
      </c>
      <c r="V459" s="34">
        <f>SUBTOTAL(9,$K$3:$K459)</f>
        <v>0</v>
      </c>
      <c r="W459" s="35">
        <f>SUBTOTAL(9,$R$3:$R459)</f>
        <v>0</v>
      </c>
      <c r="X459" s="36">
        <f>SUBTOTAL(9,$S$3:$S459)</f>
        <v>0</v>
      </c>
      <c r="Y459" s="23">
        <f>SUBTOTAL(9,$L$3:$L459)</f>
        <v>0</v>
      </c>
      <c r="Z459" s="10">
        <f>SUBTOTAL(9,$M$3:$M459)</f>
        <v>0</v>
      </c>
    </row>
    <row r="460" spans="3:26" x14ac:dyDescent="0.25">
      <c r="C460" s="9" t="e">
        <f>LOOKUP($B460,Aircrafts!$A$2:$A$1048576,Aircrafts!$B$2:$B$1048576)</f>
        <v>#N/A</v>
      </c>
      <c r="D460" s="10" t="e">
        <f>LOOKUP($B460,Aircrafts!$A$2:$A$1048576,Aircrafts!$C$2:$C$1048576)</f>
        <v>#N/A</v>
      </c>
      <c r="F460" s="10" t="e">
        <f>LOOKUP($E460,Aerodromes!$A$2:$A$1048576,Aerodromes!$B$2:$B$1048576)</f>
        <v>#N/A</v>
      </c>
      <c r="H460" s="10" t="e">
        <f>LOOKUP($G460,Aerodromes!$A$2:$A$1048576,Aerodromes!$B$2:$B$1048576)</f>
        <v>#N/A</v>
      </c>
      <c r="K460" s="13">
        <f t="shared" si="7"/>
        <v>0</v>
      </c>
      <c r="V460" s="34">
        <f>SUBTOTAL(9,$K$3:$K460)</f>
        <v>0</v>
      </c>
      <c r="W460" s="35">
        <f>SUBTOTAL(9,$R$3:$R460)</f>
        <v>0</v>
      </c>
      <c r="X460" s="36">
        <f>SUBTOTAL(9,$S$3:$S460)</f>
        <v>0</v>
      </c>
      <c r="Y460" s="23">
        <f>SUBTOTAL(9,$L$3:$L460)</f>
        <v>0</v>
      </c>
      <c r="Z460" s="10">
        <f>SUBTOTAL(9,$M$3:$M460)</f>
        <v>0</v>
      </c>
    </row>
    <row r="461" spans="3:26" x14ac:dyDescent="0.25">
      <c r="C461" s="9" t="e">
        <f>LOOKUP($B461,Aircrafts!$A$2:$A$1048576,Aircrafts!$B$2:$B$1048576)</f>
        <v>#N/A</v>
      </c>
      <c r="D461" s="10" t="e">
        <f>LOOKUP($B461,Aircrafts!$A$2:$A$1048576,Aircrafts!$C$2:$C$1048576)</f>
        <v>#N/A</v>
      </c>
      <c r="F461" s="10" t="e">
        <f>LOOKUP($E461,Aerodromes!$A$2:$A$1048576,Aerodromes!$B$2:$B$1048576)</f>
        <v>#N/A</v>
      </c>
      <c r="H461" s="10" t="e">
        <f>LOOKUP($G461,Aerodromes!$A$2:$A$1048576,Aerodromes!$B$2:$B$1048576)</f>
        <v>#N/A</v>
      </c>
      <c r="K461" s="13">
        <f t="shared" si="7"/>
        <v>0</v>
      </c>
      <c r="V461" s="34">
        <f>SUBTOTAL(9,$K$3:$K461)</f>
        <v>0</v>
      </c>
      <c r="W461" s="35">
        <f>SUBTOTAL(9,$R$3:$R461)</f>
        <v>0</v>
      </c>
      <c r="X461" s="36">
        <f>SUBTOTAL(9,$S$3:$S461)</f>
        <v>0</v>
      </c>
      <c r="Y461" s="23">
        <f>SUBTOTAL(9,$L$3:$L461)</f>
        <v>0</v>
      </c>
      <c r="Z461" s="10">
        <f>SUBTOTAL(9,$M$3:$M461)</f>
        <v>0</v>
      </c>
    </row>
    <row r="462" spans="3:26" x14ac:dyDescent="0.25">
      <c r="C462" s="9" t="e">
        <f>LOOKUP($B462,Aircrafts!$A$2:$A$1048576,Aircrafts!$B$2:$B$1048576)</f>
        <v>#N/A</v>
      </c>
      <c r="D462" s="10" t="e">
        <f>LOOKUP($B462,Aircrafts!$A$2:$A$1048576,Aircrafts!$C$2:$C$1048576)</f>
        <v>#N/A</v>
      </c>
      <c r="F462" s="10" t="e">
        <f>LOOKUP($E462,Aerodromes!$A$2:$A$1048576,Aerodromes!$B$2:$B$1048576)</f>
        <v>#N/A</v>
      </c>
      <c r="H462" s="10" t="e">
        <f>LOOKUP($G462,Aerodromes!$A$2:$A$1048576,Aerodromes!$B$2:$B$1048576)</f>
        <v>#N/A</v>
      </c>
      <c r="K462" s="13">
        <f t="shared" si="7"/>
        <v>0</v>
      </c>
      <c r="V462" s="34">
        <f>SUBTOTAL(9,$K$3:$K462)</f>
        <v>0</v>
      </c>
      <c r="W462" s="35">
        <f>SUBTOTAL(9,$R$3:$R462)</f>
        <v>0</v>
      </c>
      <c r="X462" s="36">
        <f>SUBTOTAL(9,$S$3:$S462)</f>
        <v>0</v>
      </c>
      <c r="Y462" s="23">
        <f>SUBTOTAL(9,$L$3:$L462)</f>
        <v>0</v>
      </c>
      <c r="Z462" s="10">
        <f>SUBTOTAL(9,$M$3:$M462)</f>
        <v>0</v>
      </c>
    </row>
    <row r="463" spans="3:26" x14ac:dyDescent="0.25">
      <c r="C463" s="9" t="e">
        <f>LOOKUP($B463,Aircrafts!$A$2:$A$1048576,Aircrafts!$B$2:$B$1048576)</f>
        <v>#N/A</v>
      </c>
      <c r="D463" s="10" t="e">
        <f>LOOKUP($B463,Aircrafts!$A$2:$A$1048576,Aircrafts!$C$2:$C$1048576)</f>
        <v>#N/A</v>
      </c>
      <c r="F463" s="10" t="e">
        <f>LOOKUP($E463,Aerodromes!$A$2:$A$1048576,Aerodromes!$B$2:$B$1048576)</f>
        <v>#N/A</v>
      </c>
      <c r="H463" s="10" t="e">
        <f>LOOKUP($G463,Aerodromes!$A$2:$A$1048576,Aerodromes!$B$2:$B$1048576)</f>
        <v>#N/A</v>
      </c>
      <c r="K463" s="13">
        <f t="shared" si="7"/>
        <v>0</v>
      </c>
      <c r="V463" s="34">
        <f>SUBTOTAL(9,$K$3:$K463)</f>
        <v>0</v>
      </c>
      <c r="W463" s="35">
        <f>SUBTOTAL(9,$R$3:$R463)</f>
        <v>0</v>
      </c>
      <c r="X463" s="36">
        <f>SUBTOTAL(9,$S$3:$S463)</f>
        <v>0</v>
      </c>
      <c r="Y463" s="23">
        <f>SUBTOTAL(9,$L$3:$L463)</f>
        <v>0</v>
      </c>
      <c r="Z463" s="10">
        <f>SUBTOTAL(9,$M$3:$M463)</f>
        <v>0</v>
      </c>
    </row>
    <row r="464" spans="3:26" x14ac:dyDescent="0.25">
      <c r="C464" s="9" t="e">
        <f>LOOKUP($B464,Aircrafts!$A$2:$A$1048576,Aircrafts!$B$2:$B$1048576)</f>
        <v>#N/A</v>
      </c>
      <c r="D464" s="10" t="e">
        <f>LOOKUP($B464,Aircrafts!$A$2:$A$1048576,Aircrafts!$C$2:$C$1048576)</f>
        <v>#N/A</v>
      </c>
      <c r="F464" s="10" t="e">
        <f>LOOKUP($E464,Aerodromes!$A$2:$A$1048576,Aerodromes!$B$2:$B$1048576)</f>
        <v>#N/A</v>
      </c>
      <c r="H464" s="10" t="e">
        <f>LOOKUP($G464,Aerodromes!$A$2:$A$1048576,Aerodromes!$B$2:$B$1048576)</f>
        <v>#N/A</v>
      </c>
      <c r="K464" s="13">
        <f t="shared" si="7"/>
        <v>0</v>
      </c>
      <c r="V464" s="34">
        <f>SUBTOTAL(9,$K$3:$K464)</f>
        <v>0</v>
      </c>
      <c r="W464" s="35">
        <f>SUBTOTAL(9,$R$3:$R464)</f>
        <v>0</v>
      </c>
      <c r="X464" s="36">
        <f>SUBTOTAL(9,$S$3:$S464)</f>
        <v>0</v>
      </c>
      <c r="Y464" s="23">
        <f>SUBTOTAL(9,$L$3:$L464)</f>
        <v>0</v>
      </c>
      <c r="Z464" s="10">
        <f>SUBTOTAL(9,$M$3:$M464)</f>
        <v>0</v>
      </c>
    </row>
    <row r="465" spans="3:26" x14ac:dyDescent="0.25">
      <c r="C465" s="9" t="e">
        <f>LOOKUP($B465,Aircrafts!$A$2:$A$1048576,Aircrafts!$B$2:$B$1048576)</f>
        <v>#N/A</v>
      </c>
      <c r="D465" s="10" t="e">
        <f>LOOKUP($B465,Aircrafts!$A$2:$A$1048576,Aircrafts!$C$2:$C$1048576)</f>
        <v>#N/A</v>
      </c>
      <c r="F465" s="10" t="e">
        <f>LOOKUP($E465,Aerodromes!$A$2:$A$1048576,Aerodromes!$B$2:$B$1048576)</f>
        <v>#N/A</v>
      </c>
      <c r="H465" s="10" t="e">
        <f>LOOKUP($G465,Aerodromes!$A$2:$A$1048576,Aerodromes!$B$2:$B$1048576)</f>
        <v>#N/A</v>
      </c>
      <c r="K465" s="13">
        <f t="shared" si="7"/>
        <v>0</v>
      </c>
      <c r="V465" s="34">
        <f>SUBTOTAL(9,$K$3:$K465)</f>
        <v>0</v>
      </c>
      <c r="W465" s="35">
        <f>SUBTOTAL(9,$R$3:$R465)</f>
        <v>0</v>
      </c>
      <c r="X465" s="36">
        <f>SUBTOTAL(9,$S$3:$S465)</f>
        <v>0</v>
      </c>
      <c r="Y465" s="23">
        <f>SUBTOTAL(9,$L$3:$L465)</f>
        <v>0</v>
      </c>
      <c r="Z465" s="10">
        <f>SUBTOTAL(9,$M$3:$M465)</f>
        <v>0</v>
      </c>
    </row>
    <row r="466" spans="3:26" x14ac:dyDescent="0.25">
      <c r="C466" s="9" t="e">
        <f>LOOKUP($B466,Aircrafts!$A$2:$A$1048576,Aircrafts!$B$2:$B$1048576)</f>
        <v>#N/A</v>
      </c>
      <c r="D466" s="10" t="e">
        <f>LOOKUP($B466,Aircrafts!$A$2:$A$1048576,Aircrafts!$C$2:$C$1048576)</f>
        <v>#N/A</v>
      </c>
      <c r="F466" s="10" t="e">
        <f>LOOKUP($E466,Aerodromes!$A$2:$A$1048576,Aerodromes!$B$2:$B$1048576)</f>
        <v>#N/A</v>
      </c>
      <c r="H466" s="10" t="e">
        <f>LOOKUP($G466,Aerodromes!$A$2:$A$1048576,Aerodromes!$B$2:$B$1048576)</f>
        <v>#N/A</v>
      </c>
      <c r="K466" s="13">
        <f t="shared" si="7"/>
        <v>0</v>
      </c>
      <c r="V466" s="34">
        <f>SUBTOTAL(9,$K$3:$K466)</f>
        <v>0</v>
      </c>
      <c r="W466" s="35">
        <f>SUBTOTAL(9,$R$3:$R466)</f>
        <v>0</v>
      </c>
      <c r="X466" s="36">
        <f>SUBTOTAL(9,$S$3:$S466)</f>
        <v>0</v>
      </c>
      <c r="Y466" s="23">
        <f>SUBTOTAL(9,$L$3:$L466)</f>
        <v>0</v>
      </c>
      <c r="Z466" s="10">
        <f>SUBTOTAL(9,$M$3:$M466)</f>
        <v>0</v>
      </c>
    </row>
    <row r="467" spans="3:26" x14ac:dyDescent="0.25">
      <c r="C467" s="9" t="e">
        <f>LOOKUP($B467,Aircrafts!$A$2:$A$1048576,Aircrafts!$B$2:$B$1048576)</f>
        <v>#N/A</v>
      </c>
      <c r="D467" s="10" t="e">
        <f>LOOKUP($B467,Aircrafts!$A$2:$A$1048576,Aircrafts!$C$2:$C$1048576)</f>
        <v>#N/A</v>
      </c>
      <c r="F467" s="10" t="e">
        <f>LOOKUP($E467,Aerodromes!$A$2:$A$1048576,Aerodromes!$B$2:$B$1048576)</f>
        <v>#N/A</v>
      </c>
      <c r="H467" s="10" t="e">
        <f>LOOKUP($G467,Aerodromes!$A$2:$A$1048576,Aerodromes!$B$2:$B$1048576)</f>
        <v>#N/A</v>
      </c>
      <c r="K467" s="13">
        <f t="shared" si="7"/>
        <v>0</v>
      </c>
      <c r="V467" s="34">
        <f>SUBTOTAL(9,$K$3:$K467)</f>
        <v>0</v>
      </c>
      <c r="W467" s="35">
        <f>SUBTOTAL(9,$R$3:$R467)</f>
        <v>0</v>
      </c>
      <c r="X467" s="36">
        <f>SUBTOTAL(9,$S$3:$S467)</f>
        <v>0</v>
      </c>
      <c r="Y467" s="23">
        <f>SUBTOTAL(9,$L$3:$L467)</f>
        <v>0</v>
      </c>
      <c r="Z467" s="10">
        <f>SUBTOTAL(9,$M$3:$M467)</f>
        <v>0</v>
      </c>
    </row>
    <row r="468" spans="3:26" x14ac:dyDescent="0.25">
      <c r="C468" s="9" t="e">
        <f>LOOKUP($B468,Aircrafts!$A$2:$A$1048576,Aircrafts!$B$2:$B$1048576)</f>
        <v>#N/A</v>
      </c>
      <c r="D468" s="10" t="e">
        <f>LOOKUP($B468,Aircrafts!$A$2:$A$1048576,Aircrafts!$C$2:$C$1048576)</f>
        <v>#N/A</v>
      </c>
      <c r="F468" s="10" t="e">
        <f>LOOKUP($E468,Aerodromes!$A$2:$A$1048576,Aerodromes!$B$2:$B$1048576)</f>
        <v>#N/A</v>
      </c>
      <c r="H468" s="10" t="e">
        <f>LOOKUP($G468,Aerodromes!$A$2:$A$1048576,Aerodromes!$B$2:$B$1048576)</f>
        <v>#N/A</v>
      </c>
      <c r="K468" s="13">
        <f t="shared" si="7"/>
        <v>0</v>
      </c>
      <c r="V468" s="34">
        <f>SUBTOTAL(9,$K$3:$K468)</f>
        <v>0</v>
      </c>
      <c r="W468" s="35">
        <f>SUBTOTAL(9,$R$3:$R468)</f>
        <v>0</v>
      </c>
      <c r="X468" s="36">
        <f>SUBTOTAL(9,$S$3:$S468)</f>
        <v>0</v>
      </c>
      <c r="Y468" s="23">
        <f>SUBTOTAL(9,$L$3:$L468)</f>
        <v>0</v>
      </c>
      <c r="Z468" s="10">
        <f>SUBTOTAL(9,$M$3:$M468)</f>
        <v>0</v>
      </c>
    </row>
    <row r="469" spans="3:26" x14ac:dyDescent="0.25">
      <c r="C469" s="9" t="e">
        <f>LOOKUP($B469,Aircrafts!$A$2:$A$1048576,Aircrafts!$B$2:$B$1048576)</f>
        <v>#N/A</v>
      </c>
      <c r="D469" s="10" t="e">
        <f>LOOKUP($B469,Aircrafts!$A$2:$A$1048576,Aircrafts!$C$2:$C$1048576)</f>
        <v>#N/A</v>
      </c>
      <c r="F469" s="10" t="e">
        <f>LOOKUP($E469,Aerodromes!$A$2:$A$1048576,Aerodromes!$B$2:$B$1048576)</f>
        <v>#N/A</v>
      </c>
      <c r="H469" s="10" t="e">
        <f>LOOKUP($G469,Aerodromes!$A$2:$A$1048576,Aerodromes!$B$2:$B$1048576)</f>
        <v>#N/A</v>
      </c>
      <c r="K469" s="13">
        <f t="shared" si="7"/>
        <v>0</v>
      </c>
      <c r="V469" s="34">
        <f>SUBTOTAL(9,$K$3:$K469)</f>
        <v>0</v>
      </c>
      <c r="W469" s="35">
        <f>SUBTOTAL(9,$R$3:$R469)</f>
        <v>0</v>
      </c>
      <c r="X469" s="36">
        <f>SUBTOTAL(9,$S$3:$S469)</f>
        <v>0</v>
      </c>
      <c r="Y469" s="23">
        <f>SUBTOTAL(9,$L$3:$L469)</f>
        <v>0</v>
      </c>
      <c r="Z469" s="10">
        <f>SUBTOTAL(9,$M$3:$M469)</f>
        <v>0</v>
      </c>
    </row>
    <row r="470" spans="3:26" x14ac:dyDescent="0.25">
      <c r="C470" s="9" t="e">
        <f>LOOKUP($B470,Aircrafts!$A$2:$A$1048576,Aircrafts!$B$2:$B$1048576)</f>
        <v>#N/A</v>
      </c>
      <c r="D470" s="10" t="e">
        <f>LOOKUP($B470,Aircrafts!$A$2:$A$1048576,Aircrafts!$C$2:$C$1048576)</f>
        <v>#N/A</v>
      </c>
      <c r="F470" s="10" t="e">
        <f>LOOKUP($E470,Aerodromes!$A$2:$A$1048576,Aerodromes!$B$2:$B$1048576)</f>
        <v>#N/A</v>
      </c>
      <c r="H470" s="10" t="e">
        <f>LOOKUP($G470,Aerodromes!$A$2:$A$1048576,Aerodromes!$B$2:$B$1048576)</f>
        <v>#N/A</v>
      </c>
      <c r="K470" s="13">
        <f t="shared" si="7"/>
        <v>0</v>
      </c>
      <c r="V470" s="34">
        <f>SUBTOTAL(9,$K$3:$K470)</f>
        <v>0</v>
      </c>
      <c r="W470" s="35">
        <f>SUBTOTAL(9,$R$3:$R470)</f>
        <v>0</v>
      </c>
      <c r="X470" s="36">
        <f>SUBTOTAL(9,$S$3:$S470)</f>
        <v>0</v>
      </c>
      <c r="Y470" s="23">
        <f>SUBTOTAL(9,$L$3:$L470)</f>
        <v>0</v>
      </c>
      <c r="Z470" s="10">
        <f>SUBTOTAL(9,$M$3:$M470)</f>
        <v>0</v>
      </c>
    </row>
    <row r="471" spans="3:26" x14ac:dyDescent="0.25">
      <c r="C471" s="9" t="e">
        <f>LOOKUP($B471,Aircrafts!$A$2:$A$1048576,Aircrafts!$B$2:$B$1048576)</f>
        <v>#N/A</v>
      </c>
      <c r="D471" s="10" t="e">
        <f>LOOKUP($B471,Aircrafts!$A$2:$A$1048576,Aircrafts!$C$2:$C$1048576)</f>
        <v>#N/A</v>
      </c>
      <c r="F471" s="10" t="e">
        <f>LOOKUP($E471,Aerodromes!$A$2:$A$1048576,Aerodromes!$B$2:$B$1048576)</f>
        <v>#N/A</v>
      </c>
      <c r="H471" s="10" t="e">
        <f>LOOKUP($G471,Aerodromes!$A$2:$A$1048576,Aerodromes!$B$2:$B$1048576)</f>
        <v>#N/A</v>
      </c>
      <c r="K471" s="13">
        <f t="shared" si="7"/>
        <v>0</v>
      </c>
      <c r="V471" s="34">
        <f>SUBTOTAL(9,$K$3:$K471)</f>
        <v>0</v>
      </c>
      <c r="W471" s="35">
        <f>SUBTOTAL(9,$R$3:$R471)</f>
        <v>0</v>
      </c>
      <c r="X471" s="36">
        <f>SUBTOTAL(9,$S$3:$S471)</f>
        <v>0</v>
      </c>
      <c r="Y471" s="23">
        <f>SUBTOTAL(9,$L$3:$L471)</f>
        <v>0</v>
      </c>
      <c r="Z471" s="10">
        <f>SUBTOTAL(9,$M$3:$M471)</f>
        <v>0</v>
      </c>
    </row>
    <row r="472" spans="3:26" x14ac:dyDescent="0.25">
      <c r="C472" s="9" t="e">
        <f>LOOKUP($B472,Aircrafts!$A$2:$A$1048576,Aircrafts!$B$2:$B$1048576)</f>
        <v>#N/A</v>
      </c>
      <c r="D472" s="10" t="e">
        <f>LOOKUP($B472,Aircrafts!$A$2:$A$1048576,Aircrafts!$C$2:$C$1048576)</f>
        <v>#N/A</v>
      </c>
      <c r="F472" s="10" t="e">
        <f>LOOKUP($E472,Aerodromes!$A$2:$A$1048576,Aerodromes!$B$2:$B$1048576)</f>
        <v>#N/A</v>
      </c>
      <c r="H472" s="10" t="e">
        <f>LOOKUP($G472,Aerodromes!$A$2:$A$1048576,Aerodromes!$B$2:$B$1048576)</f>
        <v>#N/A</v>
      </c>
      <c r="K472" s="13">
        <f t="shared" si="7"/>
        <v>0</v>
      </c>
      <c r="V472" s="34">
        <f>SUBTOTAL(9,$K$3:$K472)</f>
        <v>0</v>
      </c>
      <c r="W472" s="35">
        <f>SUBTOTAL(9,$R$3:$R472)</f>
        <v>0</v>
      </c>
      <c r="X472" s="36">
        <f>SUBTOTAL(9,$S$3:$S472)</f>
        <v>0</v>
      </c>
      <c r="Y472" s="23">
        <f>SUBTOTAL(9,$L$3:$L472)</f>
        <v>0</v>
      </c>
      <c r="Z472" s="10">
        <f>SUBTOTAL(9,$M$3:$M472)</f>
        <v>0</v>
      </c>
    </row>
    <row r="473" spans="3:26" x14ac:dyDescent="0.25">
      <c r="C473" s="9" t="e">
        <f>LOOKUP($B473,Aircrafts!$A$2:$A$1048576,Aircrafts!$B$2:$B$1048576)</f>
        <v>#N/A</v>
      </c>
      <c r="D473" s="10" t="e">
        <f>LOOKUP($B473,Aircrafts!$A$2:$A$1048576,Aircrafts!$C$2:$C$1048576)</f>
        <v>#N/A</v>
      </c>
      <c r="F473" s="10" t="e">
        <f>LOOKUP($E473,Aerodromes!$A$2:$A$1048576,Aerodromes!$B$2:$B$1048576)</f>
        <v>#N/A</v>
      </c>
      <c r="H473" s="10" t="e">
        <f>LOOKUP($G473,Aerodromes!$A$2:$A$1048576,Aerodromes!$B$2:$B$1048576)</f>
        <v>#N/A</v>
      </c>
      <c r="K473" s="13">
        <f t="shared" si="7"/>
        <v>0</v>
      </c>
      <c r="V473" s="34">
        <f>SUBTOTAL(9,$K$3:$K473)</f>
        <v>0</v>
      </c>
      <c r="W473" s="35">
        <f>SUBTOTAL(9,$R$3:$R473)</f>
        <v>0</v>
      </c>
      <c r="X473" s="36">
        <f>SUBTOTAL(9,$S$3:$S473)</f>
        <v>0</v>
      </c>
      <c r="Y473" s="23">
        <f>SUBTOTAL(9,$L$3:$L473)</f>
        <v>0</v>
      </c>
      <c r="Z473" s="10">
        <f>SUBTOTAL(9,$M$3:$M473)</f>
        <v>0</v>
      </c>
    </row>
    <row r="474" spans="3:26" x14ac:dyDescent="0.25">
      <c r="C474" s="9" t="e">
        <f>LOOKUP($B474,Aircrafts!$A$2:$A$1048576,Aircrafts!$B$2:$B$1048576)</f>
        <v>#N/A</v>
      </c>
      <c r="D474" s="10" t="e">
        <f>LOOKUP($B474,Aircrafts!$A$2:$A$1048576,Aircrafts!$C$2:$C$1048576)</f>
        <v>#N/A</v>
      </c>
      <c r="F474" s="10" t="e">
        <f>LOOKUP($E474,Aerodromes!$A$2:$A$1048576,Aerodromes!$B$2:$B$1048576)</f>
        <v>#N/A</v>
      </c>
      <c r="H474" s="10" t="e">
        <f>LOOKUP($G474,Aerodromes!$A$2:$A$1048576,Aerodromes!$B$2:$B$1048576)</f>
        <v>#N/A</v>
      </c>
      <c r="K474" s="13">
        <f t="shared" si="7"/>
        <v>0</v>
      </c>
      <c r="V474" s="34">
        <f>SUBTOTAL(9,$K$3:$K474)</f>
        <v>0</v>
      </c>
      <c r="W474" s="35">
        <f>SUBTOTAL(9,$R$3:$R474)</f>
        <v>0</v>
      </c>
      <c r="X474" s="36">
        <f>SUBTOTAL(9,$S$3:$S474)</f>
        <v>0</v>
      </c>
      <c r="Y474" s="23">
        <f>SUBTOTAL(9,$L$3:$L474)</f>
        <v>0</v>
      </c>
      <c r="Z474" s="10">
        <f>SUBTOTAL(9,$M$3:$M474)</f>
        <v>0</v>
      </c>
    </row>
    <row r="475" spans="3:26" x14ac:dyDescent="0.25">
      <c r="C475" s="9" t="e">
        <f>LOOKUP($B475,Aircrafts!$A$2:$A$1048576,Aircrafts!$B$2:$B$1048576)</f>
        <v>#N/A</v>
      </c>
      <c r="D475" s="10" t="e">
        <f>LOOKUP($B475,Aircrafts!$A$2:$A$1048576,Aircrafts!$C$2:$C$1048576)</f>
        <v>#N/A</v>
      </c>
      <c r="F475" s="10" t="e">
        <f>LOOKUP($E475,Aerodromes!$A$2:$A$1048576,Aerodromes!$B$2:$B$1048576)</f>
        <v>#N/A</v>
      </c>
      <c r="H475" s="10" t="e">
        <f>LOOKUP($G475,Aerodromes!$A$2:$A$1048576,Aerodromes!$B$2:$B$1048576)</f>
        <v>#N/A</v>
      </c>
      <c r="K475" s="13">
        <f t="shared" si="7"/>
        <v>0</v>
      </c>
      <c r="V475" s="34">
        <f>SUBTOTAL(9,$K$3:$K475)</f>
        <v>0</v>
      </c>
      <c r="W475" s="35">
        <f>SUBTOTAL(9,$R$3:$R475)</f>
        <v>0</v>
      </c>
      <c r="X475" s="36">
        <f>SUBTOTAL(9,$S$3:$S475)</f>
        <v>0</v>
      </c>
      <c r="Y475" s="23">
        <f>SUBTOTAL(9,$L$3:$L475)</f>
        <v>0</v>
      </c>
      <c r="Z475" s="10">
        <f>SUBTOTAL(9,$M$3:$M475)</f>
        <v>0</v>
      </c>
    </row>
    <row r="476" spans="3:26" x14ac:dyDescent="0.25">
      <c r="C476" s="9" t="e">
        <f>LOOKUP($B476,Aircrafts!$A$2:$A$1048576,Aircrafts!$B$2:$B$1048576)</f>
        <v>#N/A</v>
      </c>
      <c r="D476" s="10" t="e">
        <f>LOOKUP($B476,Aircrafts!$A$2:$A$1048576,Aircrafts!$C$2:$C$1048576)</f>
        <v>#N/A</v>
      </c>
      <c r="F476" s="10" t="e">
        <f>LOOKUP($E476,Aerodromes!$A$2:$A$1048576,Aerodromes!$B$2:$B$1048576)</f>
        <v>#N/A</v>
      </c>
      <c r="H476" s="10" t="e">
        <f>LOOKUP($G476,Aerodromes!$A$2:$A$1048576,Aerodromes!$B$2:$B$1048576)</f>
        <v>#N/A</v>
      </c>
      <c r="K476" s="13">
        <f t="shared" si="7"/>
        <v>0</v>
      </c>
      <c r="V476" s="34">
        <f>SUBTOTAL(9,$K$3:$K476)</f>
        <v>0</v>
      </c>
      <c r="W476" s="35">
        <f>SUBTOTAL(9,$R$3:$R476)</f>
        <v>0</v>
      </c>
      <c r="X476" s="36">
        <f>SUBTOTAL(9,$S$3:$S476)</f>
        <v>0</v>
      </c>
      <c r="Y476" s="23">
        <f>SUBTOTAL(9,$L$3:$L476)</f>
        <v>0</v>
      </c>
      <c r="Z476" s="10">
        <f>SUBTOTAL(9,$M$3:$M476)</f>
        <v>0</v>
      </c>
    </row>
    <row r="477" spans="3:26" x14ac:dyDescent="0.25">
      <c r="C477" s="9" t="e">
        <f>LOOKUP($B477,Aircrafts!$A$2:$A$1048576,Aircrafts!$B$2:$B$1048576)</f>
        <v>#N/A</v>
      </c>
      <c r="D477" s="10" t="e">
        <f>LOOKUP($B477,Aircrafts!$A$2:$A$1048576,Aircrafts!$C$2:$C$1048576)</f>
        <v>#N/A</v>
      </c>
      <c r="F477" s="10" t="e">
        <f>LOOKUP($E477,Aerodromes!$A$2:$A$1048576,Aerodromes!$B$2:$B$1048576)</f>
        <v>#N/A</v>
      </c>
      <c r="H477" s="10" t="e">
        <f>LOOKUP($G477,Aerodromes!$A$2:$A$1048576,Aerodromes!$B$2:$B$1048576)</f>
        <v>#N/A</v>
      </c>
      <c r="K477" s="13">
        <f t="shared" si="7"/>
        <v>0</v>
      </c>
      <c r="V477" s="34">
        <f>SUBTOTAL(9,$K$3:$K477)</f>
        <v>0</v>
      </c>
      <c r="W477" s="35">
        <f>SUBTOTAL(9,$R$3:$R477)</f>
        <v>0</v>
      </c>
      <c r="X477" s="36">
        <f>SUBTOTAL(9,$S$3:$S477)</f>
        <v>0</v>
      </c>
      <c r="Y477" s="23">
        <f>SUBTOTAL(9,$L$3:$L477)</f>
        <v>0</v>
      </c>
      <c r="Z477" s="10">
        <f>SUBTOTAL(9,$M$3:$M477)</f>
        <v>0</v>
      </c>
    </row>
    <row r="478" spans="3:26" x14ac:dyDescent="0.25">
      <c r="C478" s="9" t="e">
        <f>LOOKUP($B478,Aircrafts!$A$2:$A$1048576,Aircrafts!$B$2:$B$1048576)</f>
        <v>#N/A</v>
      </c>
      <c r="D478" s="10" t="e">
        <f>LOOKUP($B478,Aircrafts!$A$2:$A$1048576,Aircrafts!$C$2:$C$1048576)</f>
        <v>#N/A</v>
      </c>
      <c r="F478" s="10" t="e">
        <f>LOOKUP($E478,Aerodromes!$A$2:$A$1048576,Aerodromes!$B$2:$B$1048576)</f>
        <v>#N/A</v>
      </c>
      <c r="H478" s="10" t="e">
        <f>LOOKUP($G478,Aerodromes!$A$2:$A$1048576,Aerodromes!$B$2:$B$1048576)</f>
        <v>#N/A</v>
      </c>
      <c r="K478" s="13">
        <f t="shared" si="7"/>
        <v>0</v>
      </c>
      <c r="V478" s="34">
        <f>SUBTOTAL(9,$K$3:$K478)</f>
        <v>0</v>
      </c>
      <c r="W478" s="35">
        <f>SUBTOTAL(9,$R$3:$R478)</f>
        <v>0</v>
      </c>
      <c r="X478" s="36">
        <f>SUBTOTAL(9,$S$3:$S478)</f>
        <v>0</v>
      </c>
      <c r="Y478" s="23">
        <f>SUBTOTAL(9,$L$3:$L478)</f>
        <v>0</v>
      </c>
      <c r="Z478" s="10">
        <f>SUBTOTAL(9,$M$3:$M478)</f>
        <v>0</v>
      </c>
    </row>
    <row r="479" spans="3:26" x14ac:dyDescent="0.25">
      <c r="C479" s="9" t="e">
        <f>LOOKUP($B479,Aircrafts!$A$2:$A$1048576,Aircrafts!$B$2:$B$1048576)</f>
        <v>#N/A</v>
      </c>
      <c r="D479" s="10" t="e">
        <f>LOOKUP($B479,Aircrafts!$A$2:$A$1048576,Aircrafts!$C$2:$C$1048576)</f>
        <v>#N/A</v>
      </c>
      <c r="F479" s="10" t="e">
        <f>LOOKUP($E479,Aerodromes!$A$2:$A$1048576,Aerodromes!$B$2:$B$1048576)</f>
        <v>#N/A</v>
      </c>
      <c r="H479" s="10" t="e">
        <f>LOOKUP($G479,Aerodromes!$A$2:$A$1048576,Aerodromes!$B$2:$B$1048576)</f>
        <v>#N/A</v>
      </c>
      <c r="K479" s="13">
        <f t="shared" si="7"/>
        <v>0</v>
      </c>
      <c r="V479" s="34">
        <f>SUBTOTAL(9,$K$3:$K479)</f>
        <v>0</v>
      </c>
      <c r="W479" s="35">
        <f>SUBTOTAL(9,$R$3:$R479)</f>
        <v>0</v>
      </c>
      <c r="X479" s="36">
        <f>SUBTOTAL(9,$S$3:$S479)</f>
        <v>0</v>
      </c>
      <c r="Y479" s="23">
        <f>SUBTOTAL(9,$L$3:$L479)</f>
        <v>0</v>
      </c>
      <c r="Z479" s="10">
        <f>SUBTOTAL(9,$M$3:$M479)</f>
        <v>0</v>
      </c>
    </row>
    <row r="480" spans="3:26" x14ac:dyDescent="0.25">
      <c r="C480" s="9" t="e">
        <f>LOOKUP($B480,Aircrafts!$A$2:$A$1048576,Aircrafts!$B$2:$B$1048576)</f>
        <v>#N/A</v>
      </c>
      <c r="D480" s="10" t="e">
        <f>LOOKUP($B480,Aircrafts!$A$2:$A$1048576,Aircrafts!$C$2:$C$1048576)</f>
        <v>#N/A</v>
      </c>
      <c r="F480" s="10" t="e">
        <f>LOOKUP($E480,Aerodromes!$A$2:$A$1048576,Aerodromes!$B$2:$B$1048576)</f>
        <v>#N/A</v>
      </c>
      <c r="H480" s="10" t="e">
        <f>LOOKUP($G480,Aerodromes!$A$2:$A$1048576,Aerodromes!$B$2:$B$1048576)</f>
        <v>#N/A</v>
      </c>
      <c r="K480" s="13">
        <f t="shared" si="7"/>
        <v>0</v>
      </c>
      <c r="V480" s="34">
        <f>SUBTOTAL(9,$K$3:$K480)</f>
        <v>0</v>
      </c>
      <c r="W480" s="35">
        <f>SUBTOTAL(9,$R$3:$R480)</f>
        <v>0</v>
      </c>
      <c r="X480" s="36">
        <f>SUBTOTAL(9,$S$3:$S480)</f>
        <v>0</v>
      </c>
      <c r="Y480" s="23">
        <f>SUBTOTAL(9,$L$3:$L480)</f>
        <v>0</v>
      </c>
      <c r="Z480" s="10">
        <f>SUBTOTAL(9,$M$3:$M480)</f>
        <v>0</v>
      </c>
    </row>
    <row r="481" spans="3:26" x14ac:dyDescent="0.25">
      <c r="C481" s="9" t="e">
        <f>LOOKUP($B481,Aircrafts!$A$2:$A$1048576,Aircrafts!$B$2:$B$1048576)</f>
        <v>#N/A</v>
      </c>
      <c r="D481" s="10" t="e">
        <f>LOOKUP($B481,Aircrafts!$A$2:$A$1048576,Aircrafts!$C$2:$C$1048576)</f>
        <v>#N/A</v>
      </c>
      <c r="F481" s="10" t="e">
        <f>LOOKUP($E481,Aerodromes!$A$2:$A$1048576,Aerodromes!$B$2:$B$1048576)</f>
        <v>#N/A</v>
      </c>
      <c r="H481" s="10" t="e">
        <f>LOOKUP($G481,Aerodromes!$A$2:$A$1048576,Aerodromes!$B$2:$B$1048576)</f>
        <v>#N/A</v>
      </c>
      <c r="K481" s="13">
        <f t="shared" si="7"/>
        <v>0</v>
      </c>
      <c r="V481" s="34">
        <f>SUBTOTAL(9,$K$3:$K481)</f>
        <v>0</v>
      </c>
      <c r="W481" s="35">
        <f>SUBTOTAL(9,$R$3:$R481)</f>
        <v>0</v>
      </c>
      <c r="X481" s="36">
        <f>SUBTOTAL(9,$S$3:$S481)</f>
        <v>0</v>
      </c>
      <c r="Y481" s="23">
        <f>SUBTOTAL(9,$L$3:$L481)</f>
        <v>0</v>
      </c>
      <c r="Z481" s="10">
        <f>SUBTOTAL(9,$M$3:$M481)</f>
        <v>0</v>
      </c>
    </row>
    <row r="482" spans="3:26" x14ac:dyDescent="0.25">
      <c r="C482" s="9" t="e">
        <f>LOOKUP($B482,Aircrafts!$A$2:$A$1048576,Aircrafts!$B$2:$B$1048576)</f>
        <v>#N/A</v>
      </c>
      <c r="D482" s="10" t="e">
        <f>LOOKUP($B482,Aircrafts!$A$2:$A$1048576,Aircrafts!$C$2:$C$1048576)</f>
        <v>#N/A</v>
      </c>
      <c r="F482" s="10" t="e">
        <f>LOOKUP($E482,Aerodromes!$A$2:$A$1048576,Aerodromes!$B$2:$B$1048576)</f>
        <v>#N/A</v>
      </c>
      <c r="H482" s="10" t="e">
        <f>LOOKUP($G482,Aerodromes!$A$2:$A$1048576,Aerodromes!$B$2:$B$1048576)</f>
        <v>#N/A</v>
      </c>
      <c r="K482" s="13">
        <f t="shared" si="7"/>
        <v>0</v>
      </c>
      <c r="V482" s="34">
        <f>SUBTOTAL(9,$K$3:$K482)</f>
        <v>0</v>
      </c>
      <c r="W482" s="35">
        <f>SUBTOTAL(9,$R$3:$R482)</f>
        <v>0</v>
      </c>
      <c r="X482" s="36">
        <f>SUBTOTAL(9,$S$3:$S482)</f>
        <v>0</v>
      </c>
      <c r="Y482" s="23">
        <f>SUBTOTAL(9,$L$3:$L482)</f>
        <v>0</v>
      </c>
      <c r="Z482" s="10">
        <f>SUBTOTAL(9,$M$3:$M482)</f>
        <v>0</v>
      </c>
    </row>
    <row r="483" spans="3:26" x14ac:dyDescent="0.25">
      <c r="C483" s="9" t="e">
        <f>LOOKUP($B483,Aircrafts!$A$2:$A$1048576,Aircrafts!$B$2:$B$1048576)</f>
        <v>#N/A</v>
      </c>
      <c r="D483" s="10" t="e">
        <f>LOOKUP($B483,Aircrafts!$A$2:$A$1048576,Aircrafts!$C$2:$C$1048576)</f>
        <v>#N/A</v>
      </c>
      <c r="F483" s="10" t="e">
        <f>LOOKUP($E483,Aerodromes!$A$2:$A$1048576,Aerodromes!$B$2:$B$1048576)</f>
        <v>#N/A</v>
      </c>
      <c r="H483" s="10" t="e">
        <f>LOOKUP($G483,Aerodromes!$A$2:$A$1048576,Aerodromes!$B$2:$B$1048576)</f>
        <v>#N/A</v>
      </c>
      <c r="K483" s="13">
        <f t="shared" si="7"/>
        <v>0</v>
      </c>
      <c r="V483" s="34">
        <f>SUBTOTAL(9,$K$3:$K483)</f>
        <v>0</v>
      </c>
      <c r="W483" s="35">
        <f>SUBTOTAL(9,$R$3:$R483)</f>
        <v>0</v>
      </c>
      <c r="X483" s="36">
        <f>SUBTOTAL(9,$S$3:$S483)</f>
        <v>0</v>
      </c>
      <c r="Y483" s="23">
        <f>SUBTOTAL(9,$L$3:$L483)</f>
        <v>0</v>
      </c>
      <c r="Z483" s="10">
        <f>SUBTOTAL(9,$M$3:$M483)</f>
        <v>0</v>
      </c>
    </row>
    <row r="484" spans="3:26" x14ac:dyDescent="0.25">
      <c r="C484" s="9" t="e">
        <f>LOOKUP($B484,Aircrafts!$A$2:$A$1048576,Aircrafts!$B$2:$B$1048576)</f>
        <v>#N/A</v>
      </c>
      <c r="D484" s="10" t="e">
        <f>LOOKUP($B484,Aircrafts!$A$2:$A$1048576,Aircrafts!$C$2:$C$1048576)</f>
        <v>#N/A</v>
      </c>
      <c r="F484" s="10" t="e">
        <f>LOOKUP($E484,Aerodromes!$A$2:$A$1048576,Aerodromes!$B$2:$B$1048576)</f>
        <v>#N/A</v>
      </c>
      <c r="H484" s="10" t="e">
        <f>LOOKUP($G484,Aerodromes!$A$2:$A$1048576,Aerodromes!$B$2:$B$1048576)</f>
        <v>#N/A</v>
      </c>
      <c r="K484" s="13">
        <f t="shared" si="7"/>
        <v>0</v>
      </c>
      <c r="V484" s="34">
        <f>SUBTOTAL(9,$K$3:$K484)</f>
        <v>0</v>
      </c>
      <c r="W484" s="35">
        <f>SUBTOTAL(9,$R$3:$R484)</f>
        <v>0</v>
      </c>
      <c r="X484" s="36">
        <f>SUBTOTAL(9,$S$3:$S484)</f>
        <v>0</v>
      </c>
      <c r="Y484" s="23">
        <f>SUBTOTAL(9,$L$3:$L484)</f>
        <v>0</v>
      </c>
      <c r="Z484" s="10">
        <f>SUBTOTAL(9,$M$3:$M484)</f>
        <v>0</v>
      </c>
    </row>
    <row r="485" spans="3:26" x14ac:dyDescent="0.25">
      <c r="C485" s="9" t="e">
        <f>LOOKUP($B485,Aircrafts!$A$2:$A$1048576,Aircrafts!$B$2:$B$1048576)</f>
        <v>#N/A</v>
      </c>
      <c r="D485" s="10" t="e">
        <f>LOOKUP($B485,Aircrafts!$A$2:$A$1048576,Aircrafts!$C$2:$C$1048576)</f>
        <v>#N/A</v>
      </c>
      <c r="F485" s="10" t="e">
        <f>LOOKUP($E485,Aerodromes!$A$2:$A$1048576,Aerodromes!$B$2:$B$1048576)</f>
        <v>#N/A</v>
      </c>
      <c r="H485" s="10" t="e">
        <f>LOOKUP($G485,Aerodromes!$A$2:$A$1048576,Aerodromes!$B$2:$B$1048576)</f>
        <v>#N/A</v>
      </c>
      <c r="K485" s="13">
        <f t="shared" si="7"/>
        <v>0</v>
      </c>
      <c r="V485" s="34">
        <f>SUBTOTAL(9,$K$3:$K485)</f>
        <v>0</v>
      </c>
      <c r="W485" s="35">
        <f>SUBTOTAL(9,$R$3:$R485)</f>
        <v>0</v>
      </c>
      <c r="X485" s="36">
        <f>SUBTOTAL(9,$S$3:$S485)</f>
        <v>0</v>
      </c>
      <c r="Y485" s="23">
        <f>SUBTOTAL(9,$L$3:$L485)</f>
        <v>0</v>
      </c>
      <c r="Z485" s="10">
        <f>SUBTOTAL(9,$M$3:$M485)</f>
        <v>0</v>
      </c>
    </row>
    <row r="486" spans="3:26" x14ac:dyDescent="0.25">
      <c r="C486" s="9" t="e">
        <f>LOOKUP($B486,Aircrafts!$A$2:$A$1048576,Aircrafts!$B$2:$B$1048576)</f>
        <v>#N/A</v>
      </c>
      <c r="D486" s="10" t="e">
        <f>LOOKUP($B486,Aircrafts!$A$2:$A$1048576,Aircrafts!$C$2:$C$1048576)</f>
        <v>#N/A</v>
      </c>
      <c r="F486" s="10" t="e">
        <f>LOOKUP($E486,Aerodromes!$A$2:$A$1048576,Aerodromes!$B$2:$B$1048576)</f>
        <v>#N/A</v>
      </c>
      <c r="H486" s="10" t="e">
        <f>LOOKUP($G486,Aerodromes!$A$2:$A$1048576,Aerodromes!$B$2:$B$1048576)</f>
        <v>#N/A</v>
      </c>
      <c r="K486" s="13">
        <f t="shared" si="7"/>
        <v>0</v>
      </c>
      <c r="V486" s="34">
        <f>SUBTOTAL(9,$K$3:$K486)</f>
        <v>0</v>
      </c>
      <c r="W486" s="35">
        <f>SUBTOTAL(9,$R$3:$R486)</f>
        <v>0</v>
      </c>
      <c r="X486" s="36">
        <f>SUBTOTAL(9,$S$3:$S486)</f>
        <v>0</v>
      </c>
      <c r="Y486" s="23">
        <f>SUBTOTAL(9,$L$3:$L486)</f>
        <v>0</v>
      </c>
      <c r="Z486" s="10">
        <f>SUBTOTAL(9,$M$3:$M486)</f>
        <v>0</v>
      </c>
    </row>
    <row r="487" spans="3:26" x14ac:dyDescent="0.25">
      <c r="C487" s="9" t="e">
        <f>LOOKUP($B487,Aircrafts!$A$2:$A$1048576,Aircrafts!$B$2:$B$1048576)</f>
        <v>#N/A</v>
      </c>
      <c r="D487" s="10" t="e">
        <f>LOOKUP($B487,Aircrafts!$A$2:$A$1048576,Aircrafts!$C$2:$C$1048576)</f>
        <v>#N/A</v>
      </c>
      <c r="F487" s="10" t="e">
        <f>LOOKUP($E487,Aerodromes!$A$2:$A$1048576,Aerodromes!$B$2:$B$1048576)</f>
        <v>#N/A</v>
      </c>
      <c r="H487" s="10" t="e">
        <f>LOOKUP($G487,Aerodromes!$A$2:$A$1048576,Aerodromes!$B$2:$B$1048576)</f>
        <v>#N/A</v>
      </c>
      <c r="K487" s="13">
        <f t="shared" si="7"/>
        <v>0</v>
      </c>
      <c r="V487" s="34">
        <f>SUBTOTAL(9,$K$3:$K487)</f>
        <v>0</v>
      </c>
      <c r="W487" s="35">
        <f>SUBTOTAL(9,$R$3:$R487)</f>
        <v>0</v>
      </c>
      <c r="X487" s="36">
        <f>SUBTOTAL(9,$S$3:$S487)</f>
        <v>0</v>
      </c>
      <c r="Y487" s="23">
        <f>SUBTOTAL(9,$L$3:$L487)</f>
        <v>0</v>
      </c>
      <c r="Z487" s="10">
        <f>SUBTOTAL(9,$M$3:$M487)</f>
        <v>0</v>
      </c>
    </row>
    <row r="488" spans="3:26" x14ac:dyDescent="0.25">
      <c r="C488" s="9" t="e">
        <f>LOOKUP($B488,Aircrafts!$A$2:$A$1048576,Aircrafts!$B$2:$B$1048576)</f>
        <v>#N/A</v>
      </c>
      <c r="D488" s="10" t="e">
        <f>LOOKUP($B488,Aircrafts!$A$2:$A$1048576,Aircrafts!$C$2:$C$1048576)</f>
        <v>#N/A</v>
      </c>
      <c r="F488" s="10" t="e">
        <f>LOOKUP($E488,Aerodromes!$A$2:$A$1048576,Aerodromes!$B$2:$B$1048576)</f>
        <v>#N/A</v>
      </c>
      <c r="H488" s="10" t="e">
        <f>LOOKUP($G488,Aerodromes!$A$2:$A$1048576,Aerodromes!$B$2:$B$1048576)</f>
        <v>#N/A</v>
      </c>
      <c r="K488" s="13">
        <f t="shared" si="7"/>
        <v>0</v>
      </c>
      <c r="V488" s="34">
        <f>SUBTOTAL(9,$K$3:$K488)</f>
        <v>0</v>
      </c>
      <c r="W488" s="35">
        <f>SUBTOTAL(9,$R$3:$R488)</f>
        <v>0</v>
      </c>
      <c r="X488" s="36">
        <f>SUBTOTAL(9,$S$3:$S488)</f>
        <v>0</v>
      </c>
      <c r="Y488" s="23">
        <f>SUBTOTAL(9,$L$3:$L488)</f>
        <v>0</v>
      </c>
      <c r="Z488" s="10">
        <f>SUBTOTAL(9,$M$3:$M488)</f>
        <v>0</v>
      </c>
    </row>
    <row r="489" spans="3:26" x14ac:dyDescent="0.25">
      <c r="C489" s="9" t="e">
        <f>LOOKUP($B489,Aircrafts!$A$2:$A$1048576,Aircrafts!$B$2:$B$1048576)</f>
        <v>#N/A</v>
      </c>
      <c r="D489" s="10" t="e">
        <f>LOOKUP($B489,Aircrafts!$A$2:$A$1048576,Aircrafts!$C$2:$C$1048576)</f>
        <v>#N/A</v>
      </c>
      <c r="F489" s="10" t="e">
        <f>LOOKUP($E489,Aerodromes!$A$2:$A$1048576,Aerodromes!$B$2:$B$1048576)</f>
        <v>#N/A</v>
      </c>
      <c r="H489" s="10" t="e">
        <f>LOOKUP($G489,Aerodromes!$A$2:$A$1048576,Aerodromes!$B$2:$B$1048576)</f>
        <v>#N/A</v>
      </c>
      <c r="K489" s="13">
        <f t="shared" si="7"/>
        <v>0</v>
      </c>
      <c r="V489" s="34">
        <f>SUBTOTAL(9,$K$3:$K489)</f>
        <v>0</v>
      </c>
      <c r="W489" s="35">
        <f>SUBTOTAL(9,$R$3:$R489)</f>
        <v>0</v>
      </c>
      <c r="X489" s="36">
        <f>SUBTOTAL(9,$S$3:$S489)</f>
        <v>0</v>
      </c>
      <c r="Y489" s="23">
        <f>SUBTOTAL(9,$L$3:$L489)</f>
        <v>0</v>
      </c>
      <c r="Z489" s="10">
        <f>SUBTOTAL(9,$M$3:$M489)</f>
        <v>0</v>
      </c>
    </row>
    <row r="490" spans="3:26" x14ac:dyDescent="0.25">
      <c r="C490" s="9" t="e">
        <f>LOOKUP($B490,Aircrafts!$A$2:$A$1048576,Aircrafts!$B$2:$B$1048576)</f>
        <v>#N/A</v>
      </c>
      <c r="D490" s="10" t="e">
        <f>LOOKUP($B490,Aircrafts!$A$2:$A$1048576,Aircrafts!$C$2:$C$1048576)</f>
        <v>#N/A</v>
      </c>
      <c r="F490" s="10" t="e">
        <f>LOOKUP($E490,Aerodromes!$A$2:$A$1048576,Aerodromes!$B$2:$B$1048576)</f>
        <v>#N/A</v>
      </c>
      <c r="H490" s="10" t="e">
        <f>LOOKUP($G490,Aerodromes!$A$2:$A$1048576,Aerodromes!$B$2:$B$1048576)</f>
        <v>#N/A</v>
      </c>
      <c r="K490" s="13">
        <f t="shared" si="7"/>
        <v>0</v>
      </c>
      <c r="V490" s="34">
        <f>SUBTOTAL(9,$K$3:$K490)</f>
        <v>0</v>
      </c>
      <c r="W490" s="35">
        <f>SUBTOTAL(9,$R$3:$R490)</f>
        <v>0</v>
      </c>
      <c r="X490" s="36">
        <f>SUBTOTAL(9,$S$3:$S490)</f>
        <v>0</v>
      </c>
      <c r="Y490" s="23">
        <f>SUBTOTAL(9,$L$3:$L490)</f>
        <v>0</v>
      </c>
      <c r="Z490" s="10">
        <f>SUBTOTAL(9,$M$3:$M490)</f>
        <v>0</v>
      </c>
    </row>
    <row r="491" spans="3:26" x14ac:dyDescent="0.25">
      <c r="C491" s="9" t="e">
        <f>LOOKUP($B491,Aircrafts!$A$2:$A$1048576,Aircrafts!$B$2:$B$1048576)</f>
        <v>#N/A</v>
      </c>
      <c r="D491" s="10" t="e">
        <f>LOOKUP($B491,Aircrafts!$A$2:$A$1048576,Aircrafts!$C$2:$C$1048576)</f>
        <v>#N/A</v>
      </c>
      <c r="F491" s="10" t="e">
        <f>LOOKUP($E491,Aerodromes!$A$2:$A$1048576,Aerodromes!$B$2:$B$1048576)</f>
        <v>#N/A</v>
      </c>
      <c r="H491" s="10" t="e">
        <f>LOOKUP($G491,Aerodromes!$A$2:$A$1048576,Aerodromes!$B$2:$B$1048576)</f>
        <v>#N/A</v>
      </c>
      <c r="K491" s="13">
        <f t="shared" si="7"/>
        <v>0</v>
      </c>
      <c r="V491" s="34">
        <f>SUBTOTAL(9,$K$3:$K491)</f>
        <v>0</v>
      </c>
      <c r="W491" s="35">
        <f>SUBTOTAL(9,$R$3:$R491)</f>
        <v>0</v>
      </c>
      <c r="X491" s="36">
        <f>SUBTOTAL(9,$S$3:$S491)</f>
        <v>0</v>
      </c>
      <c r="Y491" s="23">
        <f>SUBTOTAL(9,$L$3:$L491)</f>
        <v>0</v>
      </c>
      <c r="Z491" s="10">
        <f>SUBTOTAL(9,$M$3:$M491)</f>
        <v>0</v>
      </c>
    </row>
    <row r="492" spans="3:26" x14ac:dyDescent="0.25">
      <c r="C492" s="9" t="e">
        <f>LOOKUP($B492,Aircrafts!$A$2:$A$1048576,Aircrafts!$B$2:$B$1048576)</f>
        <v>#N/A</v>
      </c>
      <c r="D492" s="10" t="e">
        <f>LOOKUP($B492,Aircrafts!$A$2:$A$1048576,Aircrafts!$C$2:$C$1048576)</f>
        <v>#N/A</v>
      </c>
      <c r="F492" s="10" t="e">
        <f>LOOKUP($E492,Aerodromes!$A$2:$A$1048576,Aerodromes!$B$2:$B$1048576)</f>
        <v>#N/A</v>
      </c>
      <c r="H492" s="10" t="e">
        <f>LOOKUP($G492,Aerodromes!$A$2:$A$1048576,Aerodromes!$B$2:$B$1048576)</f>
        <v>#N/A</v>
      </c>
      <c r="K492" s="13">
        <f t="shared" si="7"/>
        <v>0</v>
      </c>
      <c r="V492" s="34">
        <f>SUBTOTAL(9,$K$3:$K492)</f>
        <v>0</v>
      </c>
      <c r="W492" s="35">
        <f>SUBTOTAL(9,$R$3:$R492)</f>
        <v>0</v>
      </c>
      <c r="X492" s="36">
        <f>SUBTOTAL(9,$S$3:$S492)</f>
        <v>0</v>
      </c>
      <c r="Y492" s="23">
        <f>SUBTOTAL(9,$L$3:$L492)</f>
        <v>0</v>
      </c>
      <c r="Z492" s="10">
        <f>SUBTOTAL(9,$M$3:$M492)</f>
        <v>0</v>
      </c>
    </row>
    <row r="493" spans="3:26" x14ac:dyDescent="0.25">
      <c r="C493" s="9" t="e">
        <f>LOOKUP($B493,Aircrafts!$A$2:$A$1048576,Aircrafts!$B$2:$B$1048576)</f>
        <v>#N/A</v>
      </c>
      <c r="D493" s="10" t="e">
        <f>LOOKUP($B493,Aircrafts!$A$2:$A$1048576,Aircrafts!$C$2:$C$1048576)</f>
        <v>#N/A</v>
      </c>
      <c r="F493" s="10" t="e">
        <f>LOOKUP($E493,Aerodromes!$A$2:$A$1048576,Aerodromes!$B$2:$B$1048576)</f>
        <v>#N/A</v>
      </c>
      <c r="H493" s="10" t="e">
        <f>LOOKUP($G493,Aerodromes!$A$2:$A$1048576,Aerodromes!$B$2:$B$1048576)</f>
        <v>#N/A</v>
      </c>
      <c r="K493" s="13">
        <f t="shared" si="7"/>
        <v>0</v>
      </c>
      <c r="V493" s="34">
        <f>SUBTOTAL(9,$K$3:$K493)</f>
        <v>0</v>
      </c>
      <c r="W493" s="35">
        <f>SUBTOTAL(9,$R$3:$R493)</f>
        <v>0</v>
      </c>
      <c r="X493" s="36">
        <f>SUBTOTAL(9,$S$3:$S493)</f>
        <v>0</v>
      </c>
      <c r="Y493" s="23">
        <f>SUBTOTAL(9,$L$3:$L493)</f>
        <v>0</v>
      </c>
      <c r="Z493" s="10">
        <f>SUBTOTAL(9,$M$3:$M493)</f>
        <v>0</v>
      </c>
    </row>
    <row r="494" spans="3:26" x14ac:dyDescent="0.25">
      <c r="C494" s="9" t="e">
        <f>LOOKUP($B494,Aircrafts!$A$2:$A$1048576,Aircrafts!$B$2:$B$1048576)</f>
        <v>#N/A</v>
      </c>
      <c r="D494" s="10" t="e">
        <f>LOOKUP($B494,Aircrafts!$A$2:$A$1048576,Aircrafts!$C$2:$C$1048576)</f>
        <v>#N/A</v>
      </c>
      <c r="F494" s="10" t="e">
        <f>LOOKUP($E494,Aerodromes!$A$2:$A$1048576,Aerodromes!$B$2:$B$1048576)</f>
        <v>#N/A</v>
      </c>
      <c r="H494" s="10" t="e">
        <f>LOOKUP($G494,Aerodromes!$A$2:$A$1048576,Aerodromes!$B$2:$B$1048576)</f>
        <v>#N/A</v>
      </c>
      <c r="K494" s="13">
        <f t="shared" si="7"/>
        <v>0</v>
      </c>
      <c r="V494" s="34">
        <f>SUBTOTAL(9,$K$3:$K494)</f>
        <v>0</v>
      </c>
      <c r="W494" s="35">
        <f>SUBTOTAL(9,$R$3:$R494)</f>
        <v>0</v>
      </c>
      <c r="X494" s="36">
        <f>SUBTOTAL(9,$S$3:$S494)</f>
        <v>0</v>
      </c>
      <c r="Y494" s="23">
        <f>SUBTOTAL(9,$L$3:$L494)</f>
        <v>0</v>
      </c>
      <c r="Z494" s="10">
        <f>SUBTOTAL(9,$M$3:$M494)</f>
        <v>0</v>
      </c>
    </row>
    <row r="495" spans="3:26" x14ac:dyDescent="0.25">
      <c r="C495" s="9" t="e">
        <f>LOOKUP($B495,Aircrafts!$A$2:$A$1048576,Aircrafts!$B$2:$B$1048576)</f>
        <v>#N/A</v>
      </c>
      <c r="D495" s="10" t="e">
        <f>LOOKUP($B495,Aircrafts!$A$2:$A$1048576,Aircrafts!$C$2:$C$1048576)</f>
        <v>#N/A</v>
      </c>
      <c r="F495" s="10" t="e">
        <f>LOOKUP($E495,Aerodromes!$A$2:$A$1048576,Aerodromes!$B$2:$B$1048576)</f>
        <v>#N/A</v>
      </c>
      <c r="H495" s="10" t="e">
        <f>LOOKUP($G495,Aerodromes!$A$2:$A$1048576,Aerodromes!$B$2:$B$1048576)</f>
        <v>#N/A</v>
      </c>
      <c r="K495" s="13">
        <f t="shared" si="7"/>
        <v>0</v>
      </c>
      <c r="V495" s="34">
        <f>SUBTOTAL(9,$K$3:$K495)</f>
        <v>0</v>
      </c>
      <c r="W495" s="35">
        <f>SUBTOTAL(9,$R$3:$R495)</f>
        <v>0</v>
      </c>
      <c r="X495" s="36">
        <f>SUBTOTAL(9,$S$3:$S495)</f>
        <v>0</v>
      </c>
      <c r="Y495" s="23">
        <f>SUBTOTAL(9,$L$3:$L495)</f>
        <v>0</v>
      </c>
      <c r="Z495" s="10">
        <f>SUBTOTAL(9,$M$3:$M495)</f>
        <v>0</v>
      </c>
    </row>
    <row r="496" spans="3:26" x14ac:dyDescent="0.25">
      <c r="C496" s="9" t="e">
        <f>LOOKUP($B496,Aircrafts!$A$2:$A$1048576,Aircrafts!$B$2:$B$1048576)</f>
        <v>#N/A</v>
      </c>
      <c r="D496" s="10" t="e">
        <f>LOOKUP($B496,Aircrafts!$A$2:$A$1048576,Aircrafts!$C$2:$C$1048576)</f>
        <v>#N/A</v>
      </c>
      <c r="F496" s="10" t="e">
        <f>LOOKUP($E496,Aerodromes!$A$2:$A$1048576,Aerodromes!$B$2:$B$1048576)</f>
        <v>#N/A</v>
      </c>
      <c r="H496" s="10" t="e">
        <f>LOOKUP($G496,Aerodromes!$A$2:$A$1048576,Aerodromes!$B$2:$B$1048576)</f>
        <v>#N/A</v>
      </c>
      <c r="K496" s="13">
        <f t="shared" si="7"/>
        <v>0</v>
      </c>
      <c r="V496" s="34">
        <f>SUBTOTAL(9,$K$3:$K496)</f>
        <v>0</v>
      </c>
      <c r="W496" s="35">
        <f>SUBTOTAL(9,$R$3:$R496)</f>
        <v>0</v>
      </c>
      <c r="X496" s="36">
        <f>SUBTOTAL(9,$S$3:$S496)</f>
        <v>0</v>
      </c>
      <c r="Y496" s="23">
        <f>SUBTOTAL(9,$L$3:$L496)</f>
        <v>0</v>
      </c>
      <c r="Z496" s="10">
        <f>SUBTOTAL(9,$M$3:$M496)</f>
        <v>0</v>
      </c>
    </row>
    <row r="497" spans="3:26" x14ac:dyDescent="0.25">
      <c r="C497" s="9" t="e">
        <f>LOOKUP($B497,Aircrafts!$A$2:$A$1048576,Aircrafts!$B$2:$B$1048576)</f>
        <v>#N/A</v>
      </c>
      <c r="D497" s="10" t="e">
        <f>LOOKUP($B497,Aircrafts!$A$2:$A$1048576,Aircrafts!$C$2:$C$1048576)</f>
        <v>#N/A</v>
      </c>
      <c r="F497" s="10" t="e">
        <f>LOOKUP($E497,Aerodromes!$A$2:$A$1048576,Aerodromes!$B$2:$B$1048576)</f>
        <v>#N/A</v>
      </c>
      <c r="H497" s="10" t="e">
        <f>LOOKUP($G497,Aerodromes!$A$2:$A$1048576,Aerodromes!$B$2:$B$1048576)</f>
        <v>#N/A</v>
      </c>
      <c r="K497" s="13">
        <f t="shared" si="7"/>
        <v>0</v>
      </c>
      <c r="V497" s="34">
        <f>SUBTOTAL(9,$K$3:$K497)</f>
        <v>0</v>
      </c>
      <c r="W497" s="35">
        <f>SUBTOTAL(9,$R$3:$R497)</f>
        <v>0</v>
      </c>
      <c r="X497" s="36">
        <f>SUBTOTAL(9,$S$3:$S497)</f>
        <v>0</v>
      </c>
      <c r="Y497" s="23">
        <f>SUBTOTAL(9,$L$3:$L497)</f>
        <v>0</v>
      </c>
      <c r="Z497" s="10">
        <f>SUBTOTAL(9,$M$3:$M497)</f>
        <v>0</v>
      </c>
    </row>
    <row r="498" spans="3:26" x14ac:dyDescent="0.25">
      <c r="C498" s="9" t="e">
        <f>LOOKUP($B498,Aircrafts!$A$2:$A$1048576,Aircrafts!$B$2:$B$1048576)</f>
        <v>#N/A</v>
      </c>
      <c r="D498" s="10" t="e">
        <f>LOOKUP($B498,Aircrafts!$A$2:$A$1048576,Aircrafts!$C$2:$C$1048576)</f>
        <v>#N/A</v>
      </c>
      <c r="F498" s="10" t="e">
        <f>LOOKUP($E498,Aerodromes!$A$2:$A$1048576,Aerodromes!$B$2:$B$1048576)</f>
        <v>#N/A</v>
      </c>
      <c r="H498" s="10" t="e">
        <f>LOOKUP($G498,Aerodromes!$A$2:$A$1048576,Aerodromes!$B$2:$B$1048576)</f>
        <v>#N/A</v>
      </c>
      <c r="K498" s="13">
        <f t="shared" si="7"/>
        <v>0</v>
      </c>
      <c r="V498" s="34">
        <f>SUBTOTAL(9,$K$3:$K498)</f>
        <v>0</v>
      </c>
      <c r="W498" s="35">
        <f>SUBTOTAL(9,$R$3:$R498)</f>
        <v>0</v>
      </c>
      <c r="X498" s="36">
        <f>SUBTOTAL(9,$S$3:$S498)</f>
        <v>0</v>
      </c>
      <c r="Y498" s="23">
        <f>SUBTOTAL(9,$L$3:$L498)</f>
        <v>0</v>
      </c>
      <c r="Z498" s="10">
        <f>SUBTOTAL(9,$M$3:$M498)</f>
        <v>0</v>
      </c>
    </row>
    <row r="499" spans="3:26" x14ac:dyDescent="0.25">
      <c r="C499" s="9" t="e">
        <f>LOOKUP($B499,Aircrafts!$A$2:$A$1048576,Aircrafts!$B$2:$B$1048576)</f>
        <v>#N/A</v>
      </c>
      <c r="D499" s="10" t="e">
        <f>LOOKUP($B499,Aircrafts!$A$2:$A$1048576,Aircrafts!$C$2:$C$1048576)</f>
        <v>#N/A</v>
      </c>
      <c r="F499" s="10" t="e">
        <f>LOOKUP($E499,Aerodromes!$A$2:$A$1048576,Aerodromes!$B$2:$B$1048576)</f>
        <v>#N/A</v>
      </c>
      <c r="H499" s="10" t="e">
        <f>LOOKUP($G499,Aerodromes!$A$2:$A$1048576,Aerodromes!$B$2:$B$1048576)</f>
        <v>#N/A</v>
      </c>
      <c r="K499" s="13">
        <f t="shared" si="7"/>
        <v>0</v>
      </c>
      <c r="V499" s="34">
        <f>SUBTOTAL(9,$K$3:$K499)</f>
        <v>0</v>
      </c>
      <c r="W499" s="35">
        <f>SUBTOTAL(9,$R$3:$R499)</f>
        <v>0</v>
      </c>
      <c r="X499" s="36">
        <f>SUBTOTAL(9,$S$3:$S499)</f>
        <v>0</v>
      </c>
      <c r="Y499" s="23">
        <f>SUBTOTAL(9,$L$3:$L499)</f>
        <v>0</v>
      </c>
      <c r="Z499" s="10">
        <f>SUBTOTAL(9,$M$3:$M499)</f>
        <v>0</v>
      </c>
    </row>
    <row r="500" spans="3:26" x14ac:dyDescent="0.25">
      <c r="C500" s="9" t="e">
        <f>LOOKUP($B500,Aircrafts!$A$2:$A$1048576,Aircrafts!$B$2:$B$1048576)</f>
        <v>#N/A</v>
      </c>
      <c r="D500" s="10" t="e">
        <f>LOOKUP($B500,Aircrafts!$A$2:$A$1048576,Aircrafts!$C$2:$C$1048576)</f>
        <v>#N/A</v>
      </c>
      <c r="F500" s="10" t="e">
        <f>LOOKUP($E500,Aerodromes!$A$2:$A$1048576,Aerodromes!$B$2:$B$1048576)</f>
        <v>#N/A</v>
      </c>
      <c r="H500" s="10" t="e">
        <f>LOOKUP($G500,Aerodromes!$A$2:$A$1048576,Aerodromes!$B$2:$B$1048576)</f>
        <v>#N/A</v>
      </c>
      <c r="K500" s="13">
        <f t="shared" si="7"/>
        <v>0</v>
      </c>
      <c r="V500" s="34">
        <f>SUBTOTAL(9,$K$3:$K500)</f>
        <v>0</v>
      </c>
      <c r="W500" s="35">
        <f>SUBTOTAL(9,$R$3:$R500)</f>
        <v>0</v>
      </c>
      <c r="X500" s="36">
        <f>SUBTOTAL(9,$S$3:$S500)</f>
        <v>0</v>
      </c>
      <c r="Y500" s="23">
        <f>SUBTOTAL(9,$L$3:$L500)</f>
        <v>0</v>
      </c>
      <c r="Z500" s="10">
        <f>SUBTOTAL(9,$M$3:$M500)</f>
        <v>0</v>
      </c>
    </row>
    <row r="501" spans="3:26" x14ac:dyDescent="0.25">
      <c r="C501" s="9" t="e">
        <f>LOOKUP($B501,Aircrafts!$A$2:$A$1048576,Aircrafts!$B$2:$B$1048576)</f>
        <v>#N/A</v>
      </c>
      <c r="D501" s="10" t="e">
        <f>LOOKUP($B501,Aircrafts!$A$2:$A$1048576,Aircrafts!$C$2:$C$1048576)</f>
        <v>#N/A</v>
      </c>
      <c r="F501" s="10" t="e">
        <f>LOOKUP($E501,Aerodromes!$A$2:$A$1048576,Aerodromes!$B$2:$B$1048576)</f>
        <v>#N/A</v>
      </c>
      <c r="H501" s="10" t="e">
        <f>LOOKUP($G501,Aerodromes!$A$2:$A$1048576,Aerodromes!$B$2:$B$1048576)</f>
        <v>#N/A</v>
      </c>
      <c r="K501" s="13">
        <f t="shared" si="7"/>
        <v>0</v>
      </c>
      <c r="V501" s="34">
        <f>SUBTOTAL(9,$K$3:$K501)</f>
        <v>0</v>
      </c>
      <c r="W501" s="35">
        <f>SUBTOTAL(9,$R$3:$R501)</f>
        <v>0</v>
      </c>
      <c r="X501" s="36">
        <f>SUBTOTAL(9,$S$3:$S501)</f>
        <v>0</v>
      </c>
      <c r="Y501" s="23">
        <f>SUBTOTAL(9,$L$3:$L501)</f>
        <v>0</v>
      </c>
      <c r="Z501" s="10">
        <f>SUBTOTAL(9,$M$3:$M501)</f>
        <v>0</v>
      </c>
    </row>
    <row r="502" spans="3:26" x14ac:dyDescent="0.25">
      <c r="C502" s="9" t="e">
        <f>LOOKUP($B502,Aircrafts!$A$2:$A$1048576,Aircrafts!$B$2:$B$1048576)</f>
        <v>#N/A</v>
      </c>
      <c r="D502" s="10" t="e">
        <f>LOOKUP($B502,Aircrafts!$A$2:$A$1048576,Aircrafts!$C$2:$C$1048576)</f>
        <v>#N/A</v>
      </c>
      <c r="F502" s="10" t="e">
        <f>LOOKUP($E502,Aerodromes!$A$2:$A$1048576,Aerodromes!$B$2:$B$1048576)</f>
        <v>#N/A</v>
      </c>
      <c r="H502" s="10" t="e">
        <f>LOOKUP($G502,Aerodromes!$A$2:$A$1048576,Aerodromes!$B$2:$B$1048576)</f>
        <v>#N/A</v>
      </c>
      <c r="K502" s="13">
        <f t="shared" si="7"/>
        <v>0</v>
      </c>
      <c r="V502" s="34">
        <f>SUBTOTAL(9,$K$3:$K502)</f>
        <v>0</v>
      </c>
      <c r="W502" s="35">
        <f>SUBTOTAL(9,$R$3:$R502)</f>
        <v>0</v>
      </c>
      <c r="X502" s="36">
        <f>SUBTOTAL(9,$S$3:$S502)</f>
        <v>0</v>
      </c>
      <c r="Y502" s="23">
        <f>SUBTOTAL(9,$L$3:$L502)</f>
        <v>0</v>
      </c>
      <c r="Z502" s="10">
        <f>SUBTOTAL(9,$M$3:$M502)</f>
        <v>0</v>
      </c>
    </row>
  </sheetData>
  <autoFilter ref="A2:Y501" xr:uid="{00000000-0009-0000-0000-000000000000}"/>
  <mergeCells count="14">
    <mergeCell ref="T1:T2"/>
    <mergeCell ref="U1:U2"/>
    <mergeCell ref="V1:X1"/>
    <mergeCell ref="Y1:Z1"/>
    <mergeCell ref="K1:K2"/>
    <mergeCell ref="L1:M1"/>
    <mergeCell ref="N1:O1"/>
    <mergeCell ref="P1:Q1"/>
    <mergeCell ref="R1:S1"/>
    <mergeCell ref="A1:A2"/>
    <mergeCell ref="B1:D1"/>
    <mergeCell ref="E1:F1"/>
    <mergeCell ref="G1:H1"/>
    <mergeCell ref="I1:J1"/>
  </mergeCells>
  <dataValidations count="8">
    <dataValidation type="date" operator="greaterThanOrEqual" allowBlank="1" showErrorMessage="1" errorTitle="Invalid date of flight" error="Format YYYY-MM-DD" promptTitle="Date of flight" prompt="Format YYYY-MM-DD" sqref="A1:A1502" xr:uid="{00000000-0002-0000-0000-000000000000}">
      <formula1>0-0-0</formula1>
      <formula2>0</formula2>
    </dataValidation>
    <dataValidation operator="equal" allowBlank="1" showErrorMessage="1" sqref="C1:D1502 F1:F1502 H1:H2 K1:K2 N1:Q2 T1:AMJ2" xr:uid="{00000000-0002-0000-0000-000002000000}">
      <formula1>0</formula1>
      <formula2>0</formula2>
    </dataValidation>
    <dataValidation type="time" allowBlank="1" showErrorMessage="1" errorTitle="Invalid time of departure" error="Format HH:MM" promptTitle="Time of departure" prompt="Format HH:MM" sqref="I1:I1502" xr:uid="{00000000-0002-0000-0000-000005000000}">
      <formula1>0</formula1>
      <formula2>1</formula2>
    </dataValidation>
    <dataValidation type="time" allowBlank="1" showErrorMessage="1" errorTitle="Time of arrival" error="Format HH:MM" promptTitle="Time of arrival" prompt="Format HH:MM" sqref="J1:J1502" xr:uid="{00000000-0002-0000-0000-000006000000}">
      <formula1>0</formula1>
      <formula2>1</formula2>
    </dataValidation>
    <dataValidation type="whole" operator="greaterThanOrEqual" showErrorMessage="1" errorTitle="Invalid number of day time landings" error="Enter integer number &gt;= 0." promptTitle="Number of day time landings" prompt="Enter integer number &gt;= 0." sqref="L1:L1502" xr:uid="{00000000-0002-0000-0000-000007000000}">
      <formula1>0</formula1>
      <formula2>0</formula2>
    </dataValidation>
    <dataValidation type="whole" operator="greaterThanOrEqual" showErrorMessage="1" errorTitle="Invalid number of night time landings" error="Enter integer number &gt;= 0." promptTitle="Number of night time landings" prompt="Enter integer number &gt;= 0." sqref="M1:M1502" xr:uid="{00000000-0002-0000-0000-000008000000}">
      <formula1>0</formula1>
      <formula2>0</formula2>
    </dataValidation>
    <dataValidation type="time" operator="greaterThanOrEqual" allowBlank="1" showErrorMessage="1" errorTitle="Invalid night flight time" error="Format [HH]:MM" promptTitle="Night flight time" prompt="Format [HH]:MM" sqref="R1:R1502" xr:uid="{00000000-0002-0000-0000-000009000000}">
      <formula1>0</formula1>
      <formula2>0</formula2>
    </dataValidation>
    <dataValidation type="time" operator="greaterThanOrEqual" allowBlank="1" showErrorMessage="1" errorTitle="Invalid IFR flight time" error="Format [HH]:MM" promptTitle="IFR flight time" prompt="Format [HH]:MM" sqref="S1:S1502" xr:uid="{00000000-0002-0000-0000-00000A000000}">
      <formula1>0</formula1>
      <formula2>0</formula2>
    </dataValidation>
  </dataValidation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extLst>
    <ext xmlns:x14="http://schemas.microsoft.com/office/spreadsheetml/2009/9/main" uri="{CCE6A557-97BC-4b89-ADB6-D9C93CAAB3DF}">
      <x14:dataValidations xmlns:xm="http://schemas.microsoft.com/office/excel/2006/main" count="3">
        <x14:dataValidation type="list" operator="equal" allowBlank="1" showErrorMessage="1" errorTitle="Invalid aircraft registration" error="See column 'Registration' in table 'Aircrafts'" promptTitle="Aircraft registration" prompt="See column 'Registration' in table 'Aircrafts'" xr:uid="{00000000-0002-0000-0000-000001000000}">
          <x14:formula1>
            <xm:f>Aircrafts!$A$2:$A$1048576</xm:f>
          </x14:formula1>
          <x14:formula2>
            <xm:f>0</xm:f>
          </x14:formula2>
          <xm:sqref>B1:B1502</xm:sqref>
        </x14:dataValidation>
        <x14:dataValidation type="list" operator="equal" allowBlank="1" showErrorMessage="1" errorTitle="Invalid departure aerodrome" error="See column 'ICAO' in table 'Aerodromes'._x000a_For aerodromes without ICAO code use 'ZZZZ' and enter departure aerodrome name manually." promptTitle="Departure aerodrome" prompt="See column 'ICAO' in table 'Aerodromes'._x000a_For aerodromes without ICAO code use 'ZZZZ' and enter departure aerodrome name manually." xr:uid="{00000000-0002-0000-0000-000003000000}">
          <x14:formula1>
            <xm:f>Aerodromes!$A$2:$A$1048576</xm:f>
          </x14:formula1>
          <x14:formula2>
            <xm:f>0</xm:f>
          </x14:formula2>
          <xm:sqref>E1:E1502</xm:sqref>
        </x14:dataValidation>
        <x14:dataValidation type="list" operator="equal" allowBlank="1" showErrorMessage="1" errorTitle="Invalid destination aerodrome" error="See column ICAO in table Aerodromes._x000a_For aerodromes without ICAO code use 'ZZZZ' and enter destination aerodrome name manually." promptTitle="Destination aerodrome" prompt="See column ICAO in table Aerodromes._x000a_For aerodromes without ICAO code use 'ZZZZ' and enter destination aerodrome name manually." xr:uid="{00000000-0002-0000-0000-000004000000}">
          <x14:formula1>
            <xm:f>Aerodromes!$A$2:$A$1048576</xm:f>
          </x14:formula1>
          <x14:formula2>
            <xm:f>0</xm:f>
          </x14:formula2>
          <xm:sqref>G1:G1502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2"/>
  <sheetViews>
    <sheetView zoomScaleNormal="100" workbookViewId="0">
      <pane ySplit="1" topLeftCell="A2" activePane="bottomLeft" state="frozen"/>
      <selection pane="bottomLeft" activeCell="A2" sqref="A2"/>
    </sheetView>
  </sheetViews>
  <sheetFormatPr baseColWidth="10" defaultColWidth="11.5546875" defaultRowHeight="13.2" x14ac:dyDescent="0.25"/>
  <cols>
    <col min="1" max="1" width="11.5546875" style="8"/>
    <col min="2" max="2" width="11.5546875" style="38"/>
    <col min="3" max="3" width="5.21875" style="16" customWidth="1"/>
  </cols>
  <sheetData>
    <row r="1" spans="1:3" s="42" customFormat="1" ht="24.15" customHeight="1" x14ac:dyDescent="0.25">
      <c r="A1" s="39" t="s">
        <v>14</v>
      </c>
      <c r="B1" s="40" t="s">
        <v>15</v>
      </c>
      <c r="C1" s="41" t="s">
        <v>16</v>
      </c>
    </row>
    <row r="2" spans="1:3" x14ac:dyDescent="0.25">
      <c r="A2" s="8" t="s">
        <v>26</v>
      </c>
      <c r="B2" s="38" t="s">
        <v>27</v>
      </c>
      <c r="C2" s="16" t="s">
        <v>28</v>
      </c>
    </row>
  </sheetData>
  <dataValidations count="1">
    <dataValidation operator="equal" allowBlank="1" showInputMessage="1" showErrorMessage="1" promptTitle="Aircraft registration" prompt="Note that this table -- excluding the title row -- must be sorted by the 'Registration' column._x000a_Use Data -&gt; Sort after inserting new aircraft records." sqref="A1:A1002" xr:uid="{00000000-0002-0000-0100-000000000000}">
      <formula1>0</formula1>
      <formula2>0</formula2>
    </dataValidation>
  </dataValidations>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78"/>
  <sheetViews>
    <sheetView zoomScaleNormal="100" workbookViewId="0">
      <pane ySplit="1" topLeftCell="A2" activePane="bottomLeft" state="frozen"/>
      <selection pane="bottomLeft" activeCell="A2" sqref="A2"/>
    </sheetView>
  </sheetViews>
  <sheetFormatPr baseColWidth="10" defaultColWidth="11.5546875" defaultRowHeight="13.2" x14ac:dyDescent="0.25"/>
  <cols>
    <col min="1" max="1" width="11.5546875" style="43"/>
    <col min="2" max="2" width="23.88671875" style="44" customWidth="1"/>
  </cols>
  <sheetData>
    <row r="1" spans="1:2" s="47" customFormat="1" ht="24.15" customHeight="1" x14ac:dyDescent="0.25">
      <c r="A1" s="45" t="s">
        <v>17</v>
      </c>
      <c r="B1" s="46" t="s">
        <v>18</v>
      </c>
    </row>
    <row r="2" spans="1:2" x14ac:dyDescent="0.25">
      <c r="A2" s="43" t="s">
        <v>29</v>
      </c>
      <c r="B2" s="44" t="s">
        <v>30</v>
      </c>
    </row>
    <row r="3" spans="1:2" x14ac:dyDescent="0.25">
      <c r="A3" s="43" t="s">
        <v>31</v>
      </c>
      <c r="B3" s="44" t="s">
        <v>32</v>
      </c>
    </row>
    <row r="4" spans="1:2" x14ac:dyDescent="0.25">
      <c r="A4" s="43" t="s">
        <v>33</v>
      </c>
      <c r="B4" s="44" t="s">
        <v>34</v>
      </c>
    </row>
    <row r="5" spans="1:2" x14ac:dyDescent="0.25">
      <c r="A5" s="43" t="s">
        <v>35</v>
      </c>
      <c r="B5" s="44" t="s">
        <v>36</v>
      </c>
    </row>
    <row r="6" spans="1:2" x14ac:dyDescent="0.25">
      <c r="A6" s="43" t="s">
        <v>37</v>
      </c>
      <c r="B6" s="44" t="s">
        <v>38</v>
      </c>
    </row>
    <row r="7" spans="1:2" x14ac:dyDescent="0.25">
      <c r="A7" s="43" t="s">
        <v>39</v>
      </c>
      <c r="B7" s="44" t="s">
        <v>40</v>
      </c>
    </row>
    <row r="8" spans="1:2" x14ac:dyDescent="0.25">
      <c r="A8" s="43" t="s">
        <v>41</v>
      </c>
      <c r="B8" s="44" t="s">
        <v>42</v>
      </c>
    </row>
    <row r="9" spans="1:2" x14ac:dyDescent="0.25">
      <c r="A9" s="43" t="s">
        <v>43</v>
      </c>
      <c r="B9" s="44" t="s">
        <v>44</v>
      </c>
    </row>
    <row r="10" spans="1:2" x14ac:dyDescent="0.25">
      <c r="A10" s="43" t="s">
        <v>45</v>
      </c>
      <c r="B10" s="44" t="s">
        <v>46</v>
      </c>
    </row>
    <row r="11" spans="1:2" x14ac:dyDescent="0.25">
      <c r="A11" s="43" t="s">
        <v>47</v>
      </c>
      <c r="B11" s="44" t="s">
        <v>48</v>
      </c>
    </row>
    <row r="12" spans="1:2" x14ac:dyDescent="0.25">
      <c r="A12" s="43" t="s">
        <v>49</v>
      </c>
      <c r="B12" s="44" t="s">
        <v>50</v>
      </c>
    </row>
    <row r="13" spans="1:2" x14ac:dyDescent="0.25">
      <c r="A13" s="43" t="s">
        <v>51</v>
      </c>
      <c r="B13" s="44" t="s">
        <v>52</v>
      </c>
    </row>
    <row r="14" spans="1:2" x14ac:dyDescent="0.25">
      <c r="A14" s="43" t="s">
        <v>53</v>
      </c>
      <c r="B14" s="44" t="s">
        <v>54</v>
      </c>
    </row>
    <row r="15" spans="1:2" x14ac:dyDescent="0.25">
      <c r="A15" s="43" t="s">
        <v>55</v>
      </c>
      <c r="B15" s="44" t="s">
        <v>56</v>
      </c>
    </row>
    <row r="16" spans="1:2" x14ac:dyDescent="0.25">
      <c r="A16" s="43" t="s">
        <v>57</v>
      </c>
      <c r="B16" s="44" t="s">
        <v>58</v>
      </c>
    </row>
    <row r="17" spans="1:2" x14ac:dyDescent="0.25">
      <c r="A17" s="43" t="s">
        <v>59</v>
      </c>
      <c r="B17" s="44" t="s">
        <v>60</v>
      </c>
    </row>
    <row r="18" spans="1:2" x14ac:dyDescent="0.25">
      <c r="A18" s="43" t="s">
        <v>61</v>
      </c>
      <c r="B18" s="44" t="s">
        <v>62</v>
      </c>
    </row>
    <row r="19" spans="1:2" x14ac:dyDescent="0.25">
      <c r="A19" s="43" t="s">
        <v>63</v>
      </c>
      <c r="B19" s="44" t="s">
        <v>64</v>
      </c>
    </row>
    <row r="20" spans="1:2" x14ac:dyDescent="0.25">
      <c r="A20" s="43" t="s">
        <v>65</v>
      </c>
      <c r="B20" s="44" t="s">
        <v>66</v>
      </c>
    </row>
    <row r="21" spans="1:2" x14ac:dyDescent="0.25">
      <c r="A21" s="43" t="s">
        <v>67</v>
      </c>
      <c r="B21" s="44" t="s">
        <v>68</v>
      </c>
    </row>
    <row r="22" spans="1:2" x14ac:dyDescent="0.25">
      <c r="A22" s="43" t="s">
        <v>69</v>
      </c>
      <c r="B22" s="44" t="s">
        <v>70</v>
      </c>
    </row>
    <row r="23" spans="1:2" x14ac:dyDescent="0.25">
      <c r="A23" s="43" t="s">
        <v>71</v>
      </c>
      <c r="B23" s="44" t="s">
        <v>72</v>
      </c>
    </row>
    <row r="24" spans="1:2" x14ac:dyDescent="0.25">
      <c r="A24" s="43" t="s">
        <v>73</v>
      </c>
      <c r="B24" s="44" t="s">
        <v>74</v>
      </c>
    </row>
    <row r="25" spans="1:2" x14ac:dyDescent="0.25">
      <c r="A25" s="43" t="s">
        <v>75</v>
      </c>
      <c r="B25" s="44" t="s">
        <v>76</v>
      </c>
    </row>
    <row r="26" spans="1:2" x14ac:dyDescent="0.25">
      <c r="A26" s="43" t="s">
        <v>77</v>
      </c>
      <c r="B26" s="44" t="s">
        <v>78</v>
      </c>
    </row>
    <row r="27" spans="1:2" x14ac:dyDescent="0.25">
      <c r="A27" s="43" t="s">
        <v>79</v>
      </c>
      <c r="B27" s="44" t="s">
        <v>80</v>
      </c>
    </row>
    <row r="28" spans="1:2" x14ac:dyDescent="0.25">
      <c r="A28" s="43" t="s">
        <v>81</v>
      </c>
      <c r="B28" s="44" t="s">
        <v>82</v>
      </c>
    </row>
    <row r="29" spans="1:2" x14ac:dyDescent="0.25">
      <c r="A29" s="43" t="s">
        <v>83</v>
      </c>
      <c r="B29" s="44" t="s">
        <v>84</v>
      </c>
    </row>
    <row r="30" spans="1:2" x14ac:dyDescent="0.25">
      <c r="A30" s="43" t="s">
        <v>85</v>
      </c>
      <c r="B30" s="44" t="s">
        <v>86</v>
      </c>
    </row>
    <row r="31" spans="1:2" x14ac:dyDescent="0.25">
      <c r="A31" s="43" t="s">
        <v>87</v>
      </c>
      <c r="B31" s="44" t="s">
        <v>88</v>
      </c>
    </row>
    <row r="32" spans="1:2" x14ac:dyDescent="0.25">
      <c r="A32" s="43" t="s">
        <v>89</v>
      </c>
      <c r="B32" s="44" t="s">
        <v>90</v>
      </c>
    </row>
    <row r="33" spans="1:2" x14ac:dyDescent="0.25">
      <c r="A33" s="43" t="s">
        <v>91</v>
      </c>
      <c r="B33" s="44" t="s">
        <v>92</v>
      </c>
    </row>
    <row r="34" spans="1:2" x14ac:dyDescent="0.25">
      <c r="A34" s="43" t="s">
        <v>93</v>
      </c>
      <c r="B34" s="44" t="s">
        <v>94</v>
      </c>
    </row>
    <row r="35" spans="1:2" x14ac:dyDescent="0.25">
      <c r="A35" s="43" t="s">
        <v>95</v>
      </c>
      <c r="B35" s="44" t="s">
        <v>96</v>
      </c>
    </row>
    <row r="36" spans="1:2" x14ac:dyDescent="0.25">
      <c r="A36" s="43" t="s">
        <v>97</v>
      </c>
      <c r="B36" s="44" t="s">
        <v>98</v>
      </c>
    </row>
    <row r="37" spans="1:2" x14ac:dyDescent="0.25">
      <c r="A37" s="43" t="s">
        <v>99</v>
      </c>
      <c r="B37" s="44" t="s">
        <v>100</v>
      </c>
    </row>
    <row r="38" spans="1:2" x14ac:dyDescent="0.25">
      <c r="A38" s="43" t="s">
        <v>101</v>
      </c>
      <c r="B38" s="44" t="s">
        <v>102</v>
      </c>
    </row>
    <row r="39" spans="1:2" x14ac:dyDescent="0.25">
      <c r="A39" s="43" t="s">
        <v>103</v>
      </c>
      <c r="B39" s="44" t="s">
        <v>104</v>
      </c>
    </row>
    <row r="40" spans="1:2" x14ac:dyDescent="0.25">
      <c r="A40" s="43" t="s">
        <v>105</v>
      </c>
      <c r="B40" s="44" t="s">
        <v>106</v>
      </c>
    </row>
    <row r="41" spans="1:2" x14ac:dyDescent="0.25">
      <c r="A41" s="43" t="s">
        <v>107</v>
      </c>
      <c r="B41" s="44" t="s">
        <v>108</v>
      </c>
    </row>
    <row r="42" spans="1:2" x14ac:dyDescent="0.25">
      <c r="A42" s="43" t="s">
        <v>109</v>
      </c>
      <c r="B42" s="44" t="s">
        <v>110</v>
      </c>
    </row>
    <row r="43" spans="1:2" x14ac:dyDescent="0.25">
      <c r="A43" s="43" t="s">
        <v>111</v>
      </c>
      <c r="B43" s="44" t="s">
        <v>112</v>
      </c>
    </row>
    <row r="44" spans="1:2" x14ac:dyDescent="0.25">
      <c r="A44" s="43" t="s">
        <v>113</v>
      </c>
      <c r="B44" s="44" t="s">
        <v>114</v>
      </c>
    </row>
    <row r="45" spans="1:2" x14ac:dyDescent="0.25">
      <c r="A45" s="43" t="s">
        <v>115</v>
      </c>
      <c r="B45" s="44" t="s">
        <v>116</v>
      </c>
    </row>
    <row r="46" spans="1:2" x14ac:dyDescent="0.25">
      <c r="A46" s="43" t="s">
        <v>117</v>
      </c>
      <c r="B46" s="44" t="s">
        <v>118</v>
      </c>
    </row>
    <row r="47" spans="1:2" x14ac:dyDescent="0.25">
      <c r="A47" s="43" t="s">
        <v>119</v>
      </c>
      <c r="B47" s="44" t="s">
        <v>120</v>
      </c>
    </row>
    <row r="48" spans="1:2" x14ac:dyDescent="0.25">
      <c r="A48" s="43" t="s">
        <v>121</v>
      </c>
      <c r="B48" s="44" t="s">
        <v>122</v>
      </c>
    </row>
    <row r="49" spans="1:2" x14ac:dyDescent="0.25">
      <c r="A49" s="43" t="s">
        <v>123</v>
      </c>
      <c r="B49" s="44" t="s">
        <v>124</v>
      </c>
    </row>
    <row r="50" spans="1:2" x14ac:dyDescent="0.25">
      <c r="A50" s="43" t="s">
        <v>125</v>
      </c>
      <c r="B50" s="44" t="s">
        <v>126</v>
      </c>
    </row>
    <row r="51" spans="1:2" x14ac:dyDescent="0.25">
      <c r="A51" s="43" t="s">
        <v>127</v>
      </c>
      <c r="B51" s="44" t="s">
        <v>128</v>
      </c>
    </row>
    <row r="52" spans="1:2" x14ac:dyDescent="0.25">
      <c r="A52" s="43" t="s">
        <v>129</v>
      </c>
      <c r="B52" s="44" t="s">
        <v>130</v>
      </c>
    </row>
    <row r="53" spans="1:2" x14ac:dyDescent="0.25">
      <c r="A53" s="43" t="s">
        <v>131</v>
      </c>
      <c r="B53" s="44" t="s">
        <v>132</v>
      </c>
    </row>
    <row r="54" spans="1:2" x14ac:dyDescent="0.25">
      <c r="A54" s="43" t="s">
        <v>133</v>
      </c>
      <c r="B54" s="44" t="s">
        <v>134</v>
      </c>
    </row>
    <row r="55" spans="1:2" x14ac:dyDescent="0.25">
      <c r="A55" s="43" t="s">
        <v>135</v>
      </c>
      <c r="B55" s="44" t="s">
        <v>136</v>
      </c>
    </row>
    <row r="56" spans="1:2" x14ac:dyDescent="0.25">
      <c r="A56" s="43" t="s">
        <v>137</v>
      </c>
      <c r="B56" s="44" t="s">
        <v>138</v>
      </c>
    </row>
    <row r="57" spans="1:2" x14ac:dyDescent="0.25">
      <c r="A57" s="43" t="s">
        <v>139</v>
      </c>
      <c r="B57" s="44" t="s">
        <v>140</v>
      </c>
    </row>
    <row r="58" spans="1:2" x14ac:dyDescent="0.25">
      <c r="A58" s="43" t="s">
        <v>141</v>
      </c>
      <c r="B58" s="44" t="s">
        <v>142</v>
      </c>
    </row>
    <row r="59" spans="1:2" x14ac:dyDescent="0.25">
      <c r="A59" s="43" t="s">
        <v>143</v>
      </c>
      <c r="B59" s="44" t="s">
        <v>144</v>
      </c>
    </row>
    <row r="60" spans="1:2" x14ac:dyDescent="0.25">
      <c r="A60" s="43" t="s">
        <v>145</v>
      </c>
      <c r="B60" s="44" t="s">
        <v>146</v>
      </c>
    </row>
    <row r="61" spans="1:2" x14ac:dyDescent="0.25">
      <c r="A61" s="43" t="s">
        <v>147</v>
      </c>
      <c r="B61" s="44" t="s">
        <v>148</v>
      </c>
    </row>
    <row r="62" spans="1:2" x14ac:dyDescent="0.25">
      <c r="A62" s="43" t="s">
        <v>149</v>
      </c>
      <c r="B62" s="44" t="s">
        <v>150</v>
      </c>
    </row>
    <row r="63" spans="1:2" x14ac:dyDescent="0.25">
      <c r="A63" s="43" t="s">
        <v>151</v>
      </c>
      <c r="B63" s="44" t="s">
        <v>152</v>
      </c>
    </row>
    <row r="64" spans="1:2" x14ac:dyDescent="0.25">
      <c r="A64" s="43" t="s">
        <v>153</v>
      </c>
      <c r="B64" s="44" t="s">
        <v>154</v>
      </c>
    </row>
    <row r="65" spans="1:2" x14ac:dyDescent="0.25">
      <c r="A65" s="43" t="s">
        <v>155</v>
      </c>
      <c r="B65" s="44" t="s">
        <v>156</v>
      </c>
    </row>
    <row r="66" spans="1:2" x14ac:dyDescent="0.25">
      <c r="A66" s="43" t="s">
        <v>157</v>
      </c>
      <c r="B66" s="44" t="s">
        <v>158</v>
      </c>
    </row>
    <row r="67" spans="1:2" x14ac:dyDescent="0.25">
      <c r="A67" s="43" t="s">
        <v>159</v>
      </c>
      <c r="B67" s="44" t="s">
        <v>160</v>
      </c>
    </row>
    <row r="68" spans="1:2" x14ac:dyDescent="0.25">
      <c r="A68" s="43" t="s">
        <v>161</v>
      </c>
      <c r="B68" s="44" t="s">
        <v>162</v>
      </c>
    </row>
    <row r="69" spans="1:2" x14ac:dyDescent="0.25">
      <c r="A69" s="43" t="s">
        <v>163</v>
      </c>
      <c r="B69" s="44" t="s">
        <v>164</v>
      </c>
    </row>
    <row r="70" spans="1:2" x14ac:dyDescent="0.25">
      <c r="A70" s="43" t="s">
        <v>165</v>
      </c>
      <c r="B70" s="44" t="s">
        <v>166</v>
      </c>
    </row>
    <row r="71" spans="1:2" x14ac:dyDescent="0.25">
      <c r="A71" s="43" t="s">
        <v>167</v>
      </c>
      <c r="B71" s="44" t="s">
        <v>168</v>
      </c>
    </row>
    <row r="72" spans="1:2" x14ac:dyDescent="0.25">
      <c r="A72" s="43" t="s">
        <v>169</v>
      </c>
      <c r="B72" s="44" t="s">
        <v>170</v>
      </c>
    </row>
    <row r="73" spans="1:2" x14ac:dyDescent="0.25">
      <c r="A73" s="43" t="s">
        <v>171</v>
      </c>
      <c r="B73" s="44" t="s">
        <v>172</v>
      </c>
    </row>
    <row r="74" spans="1:2" x14ac:dyDescent="0.25">
      <c r="A74" s="43" t="s">
        <v>173</v>
      </c>
      <c r="B74" s="44" t="s">
        <v>174</v>
      </c>
    </row>
    <row r="75" spans="1:2" x14ac:dyDescent="0.25">
      <c r="A75" s="43" t="s">
        <v>175</v>
      </c>
      <c r="B75" s="44" t="s">
        <v>176</v>
      </c>
    </row>
    <row r="76" spans="1:2" x14ac:dyDescent="0.25">
      <c r="A76" s="43" t="s">
        <v>177</v>
      </c>
      <c r="B76" s="44" t="s">
        <v>178</v>
      </c>
    </row>
    <row r="77" spans="1:2" x14ac:dyDescent="0.25">
      <c r="A77" s="43" t="s">
        <v>179</v>
      </c>
      <c r="B77" s="44" t="s">
        <v>180</v>
      </c>
    </row>
    <row r="78" spans="1:2" x14ac:dyDescent="0.25">
      <c r="A78" s="48" t="s">
        <v>181</v>
      </c>
      <c r="B78" s="49" t="s">
        <v>182</v>
      </c>
    </row>
  </sheetData>
  <dataValidations count="1">
    <dataValidation type="textLength" operator="equal" allowBlank="1" showInputMessage="1" showErrorMessage="1" errorTitle="Invalid ICAO location indicator" error="Note that this table -- excluding the title row --must be sorted by the 'ICAO' column._x000a_Use Data -&gt; Sort after inserting new aerodrome records." promptTitle="ICAO location indicator" prompt="Note that this table -- excluding the title row -- must be sorted by the 'ICAO' column._x000a_Use Data -&gt; Sort after inserting new aerodrome records." sqref="A1:A1078" xr:uid="{00000000-0002-0000-0200-000000000000}">
      <formula1>4</formula1>
      <formula2>0</formula2>
    </dataValidation>
  </dataValidations>
  <pageMargins left="0.78749999999999998" right="0.78749999999999998" top="1.0249999999999999" bottom="1.0249999999999999" header="0.78749999999999998" footer="0.78749999999999998"/>
  <pageSetup paperSize="9" orientation="portrait" horizontalDpi="300" verticalDpi="300"/>
  <headerFooter>
    <oddHeader>&amp;C&amp;A</oddHeader>
    <oddFooter>&amp;CPage &amp;P</oddFooter>
  </headerFooter>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Flight Log</vt:lpstr>
      <vt:lpstr>Aircrafts</vt:lpstr>
      <vt:lpstr>Aerodromes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Pilot Log</dc:title>
  <dc:subject>Recording of flight time with aircrafts and aerodromes lookups.</dc:subject>
  <dc:creator>Steffens, Michael</dc:creator>
  <dc:description># OpenDocument Spreadsheet Pilot Log
Pilot log documents created from this template are useful to perform flight log calculations, as backup, and to verify consistency of the paper flight logs mandated by law.
## Disclaimer
Pilot log documents created from this template on their own do not meet the legal requirements for flight crew recording of flight time, due to the lack of auditability and the lack of support for signing records and endorsements.
## Before First Use
After creation of your pilot log spreadsheet from this template
 - populate the 'Aircrafts' table with the aircrafts you operate. Be careful to remove the "nonsense" placeholder example.
 - Extend the 'Aerodromes' table by the aerodromes you use.
The template  'Aerodromes' table is pre-filled with the set of aerodromes the author had the pleasure to visit as of now. It doesn't hurt to retain these, but feel free to adapt the table as needed.
You may fill in your pilot personal data in 'Custom Properties': name, address, date and place of birth.
## Maintainig Aircrafts and Aerodromes Tables
Each time you use a new aircraft or new aerodrome you need to extend these tables, before being able to use the new values in flight log entries. Remember to sort 'Aircrafts' and 'Aerodromes' tables by their first columns -- excluding title rows -- after adding new records. Otherwise, lookups from the flight log will fail.
## Flight Log Columns auto-filled by Formulas
All ten columns completed by table lookups or formulas are shaded grey. You shouldn't need any manual intervention to fill these, unless you need to record a flight of 24 h or longer, or an airfield without ICAO location indicator.
This template initially provides 500 empty flight log records to be filled. When consumed, extend the grey formula group columns as needed.
## Logging Flights of  24 Hours or Longer
Whenever the recorded arrival time is before departure time, flight time computation assumes that the flight spanned across midnight, but for at most 23:59 h. In case the flight actually lasted longer, you can s</dc:description>
  <cp:lastModifiedBy>Steffens, Michael</cp:lastModifiedBy>
  <cp:revision>1</cp:revision>
  <dcterms:created xsi:type="dcterms:W3CDTF">2022-02-21T23:00:20Z</dcterms:created>
  <dcterms:modified xsi:type="dcterms:W3CDTF">2022-02-21T22:16:17Z</dcterms:modified>
  <dc:language>en-US</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ddress">
    <vt:lpwstr/>
  </property>
  <property fmtid="{D5CDD505-2E9C-101B-9397-08002B2CF9AE}" pid="3" name="Name">
    <vt:lpwstr/>
  </property>
  <property fmtid="{D5CDD505-2E9C-101B-9397-08002B2CF9AE}" pid="4" name="Place of birth">
    <vt:lpwstr/>
  </property>
  <property fmtid="{D5CDD505-2E9C-101B-9397-08002B2CF9AE}" pid="5" name="Date of birth">
    <vt:filetime>1970-01-01T10:00:00Z</vt:filetime>
  </property>
</Properties>
</file>